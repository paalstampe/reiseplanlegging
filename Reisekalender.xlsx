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s meg" sheetId="1" state="visible" r:id="rId1"/>
    <sheet xmlns:r="http://schemas.openxmlformats.org/officeDocument/2006/relationships" name="Kalender" sheetId="2" state="visible" r:id="rId2"/>
    <sheet xmlns:r="http://schemas.openxmlformats.org/officeDocument/2006/relationships" name="Destinasjoner" sheetId="3" state="visible" r:id="rId3"/>
    <sheet xmlns:r="http://schemas.openxmlformats.org/officeDocument/2006/relationships" name="Måned" sheetId="4" state="visible" r:id="rId4"/>
    <sheet xmlns:r="http://schemas.openxmlformats.org/officeDocument/2006/relationships" name="Vinduer" sheetId="5" state="visible" r:id="rId5"/>
  </sheets>
  <definedNames>
    <definedName name="_xlnm._FilterDatabase" localSheetId="1" hidden="1">'Kalender'!$A$8:$BE$68</definedName>
    <definedName name="_xlnm._FilterDatabase" localSheetId="2" hidden="1">'Destinasjoner'!$A$4:$K$64</definedName>
    <definedName name="_xlnm._FilterDatabase" localSheetId="3" hidden="1">'Måned'!$A$4:$K$484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.m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sz val="8"/>
    </font>
    <font>
      <name val="Arial"/>
      <b val="1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9D6"/>
      </patternFill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5" fillId="2" borderId="0" pivotButton="0" quotePrefix="0" xfId="0"/>
    <xf numFmtId="9" fontId="4" fillId="0" borderId="0" pivotButton="0" quotePrefix="0" xfId="0"/>
    <xf numFmtId="164" fontId="5" fillId="2" borderId="0" pivotButton="0" quotePrefix="0" xfId="0"/>
    <xf numFmtId="0" fontId="5" fillId="2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3" fillId="3" borderId="0" applyAlignment="1" pivotButton="0" quotePrefix="0" xfId="0">
      <alignment vertical="center" wrapText="1"/>
    </xf>
    <xf numFmtId="0" fontId="8" fillId="3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6" fillId="0" borderId="0" applyAlignment="1" pivotButton="0" quotePrefix="0" xfId="0">
      <alignment horizontal="center"/>
    </xf>
    <xf numFmtId="0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ont>
        <b val="1"/>
        <color rgb="FFFFFFFF"/>
      </font>
      <fill>
        <patternFill patternType="solid">
          <fgColor rgb="FF1E7B45"/>
          <bgColor rgb="FF1E7B45"/>
        </patternFill>
      </fill>
    </dxf>
    <dxf>
      <font>
        <b val="1"/>
      </font>
      <fill>
        <patternFill patternType="solid">
          <fgColor rgb="FF63BE7B"/>
          <bgColor rgb="FF63BE7B"/>
        </patternFill>
      </fill>
    </dxf>
    <dxf>
      <font>
        <b val="1"/>
      </font>
      <fill>
        <patternFill patternType="solid">
          <fgColor rgb="FF9BC2E6"/>
          <bgColor rgb="FF9BC2E6"/>
        </patternFill>
      </fill>
    </dxf>
    <dxf>
      <border>
        <left style="thin">
          <color rgb="FF000000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F7" authorId="0" shapeId="0">
      <text>
        <t>Eksempel: uke 45–48 (november) er markert. Endre fritt.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10" customWidth="1" min="3" max="3"/>
  </cols>
  <sheetData>
    <row r="1">
      <c r="A1" s="1" t="n"/>
      <c r="B1" s="2" t="inlineStr">
        <is>
          <t>Reisekalender – beste tid for reisemål</t>
        </is>
      </c>
      <c r="C1" s="1" t="n"/>
    </row>
    <row r="2">
      <c r="A2" s="1" t="n"/>
      <c r="B2" s="3" t="inlineStr">
        <is>
          <t>Mock-up. Masterliste = «Reise - utenfor Europa.md». Klimatall er omtrentlige og verifiseres ved populering.</t>
        </is>
      </c>
      <c r="C2" s="1" t="n"/>
    </row>
    <row r="3">
      <c r="A3" s="1" t="n"/>
      <c r="B3" s="1" t="inlineStr"/>
      <c r="C3" s="1" t="n"/>
    </row>
    <row r="4">
      <c r="A4" s="1" t="n"/>
      <c r="B4" s="4" t="inlineStr">
        <is>
          <t>Flyt</t>
        </is>
      </c>
      <c r="C4" s="1" t="n"/>
    </row>
    <row r="5">
      <c r="A5" s="1" t="n"/>
      <c r="B5" s="5" t="inlineStr">
        <is>
          <t>1. Destinasjoner – én rad per reisemål (fra .md-filen). ID brukes som nøkkel i alle andre ark.</t>
        </is>
      </c>
      <c r="C5" s="1" t="n"/>
    </row>
    <row r="6">
      <c r="A6" s="1" t="n"/>
      <c r="B6" s="5" t="inlineStr">
        <is>
          <t>2. Måned – 12 rader per destinasjon med delscorer, T/N og begrunnelse. Samlet score beregnes.</t>
        </is>
      </c>
      <c r="C6" s="1" t="n"/>
    </row>
    <row r="7">
      <c r="A7" s="1" t="n"/>
      <c r="B7" s="5" t="inlineStr">
        <is>
          <t>3. Vinduer – ukesavgrensede justeringer (hendelser, dyreliv, helligdager). Legges oppå månedsscoren.</t>
        </is>
      </c>
      <c r="C7" s="1" t="n"/>
    </row>
    <row r="8">
      <c r="A8" s="1" t="n"/>
      <c r="B8" s="5" t="inlineStr">
        <is>
          <t>4. Kalender – generert heatmap destinasjon × ISO-uke. Marker egne tilgjengelige uker med «x» i rad 7.</t>
        </is>
      </c>
      <c r="C8" s="1" t="n"/>
    </row>
    <row r="9">
      <c r="A9" s="1" t="n"/>
      <c r="B9" s="1" t="inlineStr"/>
      <c r="C9" s="1" t="n"/>
    </row>
    <row r="10">
      <c r="A10" s="1" t="n"/>
      <c r="B10" s="4" t="inlineStr">
        <is>
          <t>Konvensjoner</t>
        </is>
      </c>
      <c r="C10" s="1" t="n"/>
    </row>
    <row r="11">
      <c r="A11" s="1" t="n"/>
      <c r="B11" s="5" t="inlineStr">
        <is>
          <t>Blå tekst / gul bakgrunn = input. Svart = formel. Ikke skriv i formelceller.</t>
        </is>
      </c>
      <c r="C11" s="1" t="n"/>
    </row>
    <row r="12">
      <c r="A12" s="1" t="n"/>
      <c r="B12" s="5" t="inlineStr">
        <is>
          <t>Uke → måned: en uke tilhører måneden torsdagen faller i (ISO-logikk). Uke 53 (f.eks. 2026) vises ikke.</t>
        </is>
      </c>
      <c r="C12" s="1" t="n"/>
    </row>
    <row r="13">
      <c r="A13" s="1" t="n"/>
      <c r="B13" s="5" t="inlineStr">
        <is>
          <t>Vindu med Fra &gt; Til går over nyttår (f.eks. uke 49–12).</t>
        </is>
      </c>
      <c r="C13" s="1" t="n"/>
    </row>
    <row r="14">
      <c r="A14" s="1" t="n"/>
      <c r="B14" s="1" t="inlineStr"/>
      <c r="C14" s="1" t="n"/>
    </row>
    <row r="15">
      <c r="A15" s="1" t="n"/>
      <c r="B15" s="4" t="inlineStr">
        <is>
          <t>Scoreskala (1–5)</t>
        </is>
      </c>
      <c r="C15" s="1" t="n"/>
    </row>
    <row r="16">
      <c r="A16" s="1" t="n"/>
      <c r="B16" s="5" t="inlineStr">
        <is>
          <t>Klima: 5 = ideelt · 3 = akseptabelt · 1 = frarådes (monsun, syklon/tyfon, ekstrem hete/kulde)</t>
        </is>
      </c>
      <c r="C16" s="1" t="n"/>
    </row>
    <row r="17">
      <c r="A17" s="1" t="n"/>
      <c r="B17" s="5" t="inlineStr">
        <is>
          <t>Opplevelse: 5 = toppsesong for det man reiser for · 1 = stengt / ikke gjennomførbart</t>
        </is>
      </c>
      <c r="C17" s="1" t="n"/>
    </row>
    <row r="18">
      <c r="A18" s="1" t="n"/>
      <c r="B18" s="5" t="inlineStr">
        <is>
          <t>Trengsel/pris: 5 = lite folk, lave priser · 1 = maks høysesong, utsolgt</t>
        </is>
      </c>
      <c r="C18" s="1" t="n"/>
    </row>
    <row r="19">
      <c r="A19" s="1" t="n"/>
      <c r="B19" s="1" t="inlineStr"/>
      <c r="C19" s="1" t="n"/>
    </row>
    <row r="20">
      <c r="A20" s="1" t="n"/>
      <c r="B20" s="4" t="inlineStr">
        <is>
          <t>Vekter for samlet score</t>
        </is>
      </c>
      <c r="C20" s="1" t="n"/>
    </row>
    <row r="21">
      <c r="A21" s="1" t="n"/>
      <c r="B21" s="5" t="inlineStr">
        <is>
          <t>Klima</t>
        </is>
      </c>
      <c r="C21" s="6" t="n">
        <v>0.4</v>
      </c>
    </row>
    <row r="22">
      <c r="A22" s="1" t="n"/>
      <c r="B22" s="5" t="inlineStr">
        <is>
          <t>Opplevelse</t>
        </is>
      </c>
      <c r="C22" s="6" t="n">
        <v>0.4</v>
      </c>
    </row>
    <row r="23">
      <c r="A23" s="1" t="n"/>
      <c r="B23" s="5" t="inlineStr">
        <is>
          <t>Trengsel/pris</t>
        </is>
      </c>
      <c r="C23" s="6" t="n">
        <v>0.2</v>
      </c>
    </row>
    <row r="24">
      <c r="A24" s="1" t="n"/>
      <c r="B24" s="5" t="inlineStr">
        <is>
          <t>Sum (skal være 100 %)</t>
        </is>
      </c>
      <c r="C24" s="7">
        <f>SUM(C21:C23)</f>
        <v/>
      </c>
    </row>
    <row r="25">
      <c r="A25" s="1" t="n"/>
      <c r="B25" s="5" t="inlineStr">
        <is>
          <t>Veto-tak: Hvis Klima eller Opplevelse = 1, begrenses samlet score til dette taket (vektet snitt hvis lavere).</t>
        </is>
      </c>
      <c r="C25" s="8" t="n">
        <v>1.5</v>
      </c>
    </row>
    <row r="26">
      <c r="A26" s="1" t="n"/>
      <c r="B26" s="5" t="inlineStr">
        <is>
          <t>Vindu-justering (±) legges til i Kalender; resultatet begrenses til 1–5.</t>
        </is>
      </c>
      <c r="C2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8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9" customWidth="1" min="4" max="4"/>
    <col width="13" customWidth="1" min="5" max="5"/>
    <col width="4.3" customWidth="1" min="6" max="6"/>
    <col width="4.3" customWidth="1" min="7" max="7"/>
    <col width="4.3" customWidth="1" min="8" max="8"/>
    <col width="4.3" customWidth="1" min="9" max="9"/>
    <col width="4.3" customWidth="1" min="10" max="10"/>
    <col width="4.3" customWidth="1" min="11" max="11"/>
    <col width="4.3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4.3" customWidth="1" min="34" max="34"/>
    <col width="4.3" customWidth="1" min="35" max="35"/>
    <col width="4.3" customWidth="1" min="36" max="36"/>
    <col width="4.3" customWidth="1" min="37" max="37"/>
    <col width="4.3" customWidth="1" min="38" max="38"/>
    <col width="4.3" customWidth="1" min="39" max="39"/>
    <col width="4.3" customWidth="1" min="40" max="40"/>
    <col width="4.3" customWidth="1" min="41" max="41"/>
    <col width="4.3" customWidth="1" min="42" max="42"/>
    <col width="4.3" customWidth="1" min="43" max="43"/>
    <col width="4.3" customWidth="1" min="44" max="44"/>
    <col width="4.3" customWidth="1" min="45" max="45"/>
    <col width="4.3" customWidth="1" min="46" max="46"/>
    <col width="4.3" customWidth="1" min="47" max="47"/>
    <col width="4.3" customWidth="1" min="48" max="48"/>
    <col width="4.3" customWidth="1" min="49" max="49"/>
    <col width="4.3" customWidth="1" min="50" max="50"/>
    <col width="4.3" customWidth="1" min="51" max="51"/>
    <col width="4.3" customWidth="1" min="52" max="52"/>
    <col width="4.3" customWidth="1" min="53" max="53"/>
    <col width="4.3" customWidth="1" min="54" max="54"/>
    <col width="4.3" customWidth="1" min="55" max="55"/>
    <col width="4.3" customWidth="1" min="56" max="56"/>
    <col width="4.3" customWidth="1" min="57" max="57"/>
  </cols>
  <sheetData>
    <row r="1">
      <c r="A1" s="2" t="inlineStr">
        <is>
          <t>Kalender – score per ISO-uke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4" t="inlineStr">
        <is>
          <t>År</t>
        </is>
      </c>
      <c r="B2" s="9" t="n">
        <v>2026</v>
      </c>
      <c r="C2" s="3" t="inlineStr">
        <is>
          <t>Månedsscore + vinduer, begrenset til 1–5. Tomt = ikke vurdert ennå.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</row>
    <row r="3">
      <c r="A3" s="4" t="inlineStr">
        <is>
          <t>Grønn fra</t>
        </is>
      </c>
      <c r="B3" s="8" t="n">
        <v>4</v>
      </c>
      <c r="C3" s="3" t="inlineStr">
        <is>
          <t>Uker med score ≥ denne verdien farges lysegrønne; resten er uten farge.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</row>
    <row r="4">
      <c r="A4" s="4" t="inlineStr">
        <is>
          <t>Mørkegrønn fra</t>
        </is>
      </c>
      <c r="B4" s="8" t="n">
        <v>4.4</v>
      </c>
      <c r="C4" s="3" t="inlineStr">
        <is>
          <t>De beste ukene (score ≥ denne verdien) farges mørkegrønne.</t>
        </is>
      </c>
      <c r="D4" s="1" t="n"/>
      <c r="E4" s="10" t="inlineStr">
        <is>
          <t>Uke</t>
        </is>
      </c>
      <c r="F4" s="11" t="n">
        <v>1</v>
      </c>
      <c r="G4" s="11" t="n">
        <v>2</v>
      </c>
      <c r="H4" s="11" t="n">
        <v>3</v>
      </c>
      <c r="I4" s="11" t="n">
        <v>4</v>
      </c>
      <c r="J4" s="11" t="n">
        <v>5</v>
      </c>
      <c r="K4" s="11" t="n">
        <v>6</v>
      </c>
      <c r="L4" s="11" t="n">
        <v>7</v>
      </c>
      <c r="M4" s="11" t="n">
        <v>8</v>
      </c>
      <c r="N4" s="11" t="n">
        <v>9</v>
      </c>
      <c r="O4" s="11" t="n">
        <v>10</v>
      </c>
      <c r="P4" s="11" t="n">
        <v>11</v>
      </c>
      <c r="Q4" s="11" t="n">
        <v>12</v>
      </c>
      <c r="R4" s="11" t="n">
        <v>13</v>
      </c>
      <c r="S4" s="11" t="n">
        <v>14</v>
      </c>
      <c r="T4" s="11" t="n">
        <v>15</v>
      </c>
      <c r="U4" s="11" t="n">
        <v>16</v>
      </c>
      <c r="V4" s="11" t="n">
        <v>17</v>
      </c>
      <c r="W4" s="11" t="n">
        <v>18</v>
      </c>
      <c r="X4" s="11" t="n">
        <v>19</v>
      </c>
      <c r="Y4" s="11" t="n">
        <v>20</v>
      </c>
      <c r="Z4" s="11" t="n">
        <v>21</v>
      </c>
      <c r="AA4" s="11" t="n">
        <v>22</v>
      </c>
      <c r="AB4" s="11" t="n">
        <v>23</v>
      </c>
      <c r="AC4" s="11" t="n">
        <v>24</v>
      </c>
      <c r="AD4" s="11" t="n">
        <v>25</v>
      </c>
      <c r="AE4" s="11" t="n">
        <v>26</v>
      </c>
      <c r="AF4" s="11" t="n">
        <v>27</v>
      </c>
      <c r="AG4" s="11" t="n">
        <v>28</v>
      </c>
      <c r="AH4" s="11" t="n">
        <v>29</v>
      </c>
      <c r="AI4" s="11" t="n">
        <v>30</v>
      </c>
      <c r="AJ4" s="11" t="n">
        <v>31</v>
      </c>
      <c r="AK4" s="11" t="n">
        <v>32</v>
      </c>
      <c r="AL4" s="11" t="n">
        <v>33</v>
      </c>
      <c r="AM4" s="11" t="n">
        <v>34</v>
      </c>
      <c r="AN4" s="11" t="n">
        <v>35</v>
      </c>
      <c r="AO4" s="11" t="n">
        <v>36</v>
      </c>
      <c r="AP4" s="11" t="n">
        <v>37</v>
      </c>
      <c r="AQ4" s="11" t="n">
        <v>38</v>
      </c>
      <c r="AR4" s="11" t="n">
        <v>39</v>
      </c>
      <c r="AS4" s="11" t="n">
        <v>40</v>
      </c>
      <c r="AT4" s="11" t="n">
        <v>41</v>
      </c>
      <c r="AU4" s="11" t="n">
        <v>42</v>
      </c>
      <c r="AV4" s="11" t="n">
        <v>43</v>
      </c>
      <c r="AW4" s="11" t="n">
        <v>44</v>
      </c>
      <c r="AX4" s="11" t="n">
        <v>45</v>
      </c>
      <c r="AY4" s="11" t="n">
        <v>46</v>
      </c>
      <c r="AZ4" s="11" t="n">
        <v>47</v>
      </c>
      <c r="BA4" s="11" t="n">
        <v>48</v>
      </c>
      <c r="BB4" s="11" t="n">
        <v>49</v>
      </c>
      <c r="BC4" s="11" t="n">
        <v>50</v>
      </c>
      <c r="BD4" s="11" t="n">
        <v>51</v>
      </c>
      <c r="BE4" s="11" t="n">
        <v>52</v>
      </c>
    </row>
    <row r="5">
      <c r="A5" s="1" t="n"/>
      <c r="B5" s="1" t="n"/>
      <c r="C5" s="1" t="n"/>
      <c r="D5" s="1" t="n"/>
      <c r="E5" s="10" t="inlineStr">
        <is>
          <t>Mandag</t>
        </is>
      </c>
      <c r="F5" s="12">
        <f>DATE($B$2,1,4)-WEEKDAY(DATE($B$2,1,4),2)+1+(F4-1)*7</f>
        <v/>
      </c>
      <c r="G5" s="12">
        <f>DATE($B$2,1,4)-WEEKDAY(DATE($B$2,1,4),2)+1+(G4-1)*7</f>
        <v/>
      </c>
      <c r="H5" s="12">
        <f>DATE($B$2,1,4)-WEEKDAY(DATE($B$2,1,4),2)+1+(H4-1)*7</f>
        <v/>
      </c>
      <c r="I5" s="12">
        <f>DATE($B$2,1,4)-WEEKDAY(DATE($B$2,1,4),2)+1+(I4-1)*7</f>
        <v/>
      </c>
      <c r="J5" s="12">
        <f>DATE($B$2,1,4)-WEEKDAY(DATE($B$2,1,4),2)+1+(J4-1)*7</f>
        <v/>
      </c>
      <c r="K5" s="12">
        <f>DATE($B$2,1,4)-WEEKDAY(DATE($B$2,1,4),2)+1+(K4-1)*7</f>
        <v/>
      </c>
      <c r="L5" s="12">
        <f>DATE($B$2,1,4)-WEEKDAY(DATE($B$2,1,4),2)+1+(L4-1)*7</f>
        <v/>
      </c>
      <c r="M5" s="12">
        <f>DATE($B$2,1,4)-WEEKDAY(DATE($B$2,1,4),2)+1+(M4-1)*7</f>
        <v/>
      </c>
      <c r="N5" s="12">
        <f>DATE($B$2,1,4)-WEEKDAY(DATE($B$2,1,4),2)+1+(N4-1)*7</f>
        <v/>
      </c>
      <c r="O5" s="12">
        <f>DATE($B$2,1,4)-WEEKDAY(DATE($B$2,1,4),2)+1+(O4-1)*7</f>
        <v/>
      </c>
      <c r="P5" s="12">
        <f>DATE($B$2,1,4)-WEEKDAY(DATE($B$2,1,4),2)+1+(P4-1)*7</f>
        <v/>
      </c>
      <c r="Q5" s="12">
        <f>DATE($B$2,1,4)-WEEKDAY(DATE($B$2,1,4),2)+1+(Q4-1)*7</f>
        <v/>
      </c>
      <c r="R5" s="12">
        <f>DATE($B$2,1,4)-WEEKDAY(DATE($B$2,1,4),2)+1+(R4-1)*7</f>
        <v/>
      </c>
      <c r="S5" s="12">
        <f>DATE($B$2,1,4)-WEEKDAY(DATE($B$2,1,4),2)+1+(S4-1)*7</f>
        <v/>
      </c>
      <c r="T5" s="12">
        <f>DATE($B$2,1,4)-WEEKDAY(DATE($B$2,1,4),2)+1+(T4-1)*7</f>
        <v/>
      </c>
      <c r="U5" s="12">
        <f>DATE($B$2,1,4)-WEEKDAY(DATE($B$2,1,4),2)+1+(U4-1)*7</f>
        <v/>
      </c>
      <c r="V5" s="12">
        <f>DATE($B$2,1,4)-WEEKDAY(DATE($B$2,1,4),2)+1+(V4-1)*7</f>
        <v/>
      </c>
      <c r="W5" s="12">
        <f>DATE($B$2,1,4)-WEEKDAY(DATE($B$2,1,4),2)+1+(W4-1)*7</f>
        <v/>
      </c>
      <c r="X5" s="12">
        <f>DATE($B$2,1,4)-WEEKDAY(DATE($B$2,1,4),2)+1+(X4-1)*7</f>
        <v/>
      </c>
      <c r="Y5" s="12">
        <f>DATE($B$2,1,4)-WEEKDAY(DATE($B$2,1,4),2)+1+(Y4-1)*7</f>
        <v/>
      </c>
      <c r="Z5" s="12">
        <f>DATE($B$2,1,4)-WEEKDAY(DATE($B$2,1,4),2)+1+(Z4-1)*7</f>
        <v/>
      </c>
      <c r="AA5" s="12">
        <f>DATE($B$2,1,4)-WEEKDAY(DATE($B$2,1,4),2)+1+(AA4-1)*7</f>
        <v/>
      </c>
      <c r="AB5" s="12">
        <f>DATE($B$2,1,4)-WEEKDAY(DATE($B$2,1,4),2)+1+(AB4-1)*7</f>
        <v/>
      </c>
      <c r="AC5" s="12">
        <f>DATE($B$2,1,4)-WEEKDAY(DATE($B$2,1,4),2)+1+(AC4-1)*7</f>
        <v/>
      </c>
      <c r="AD5" s="12">
        <f>DATE($B$2,1,4)-WEEKDAY(DATE($B$2,1,4),2)+1+(AD4-1)*7</f>
        <v/>
      </c>
      <c r="AE5" s="12">
        <f>DATE($B$2,1,4)-WEEKDAY(DATE($B$2,1,4),2)+1+(AE4-1)*7</f>
        <v/>
      </c>
      <c r="AF5" s="12">
        <f>DATE($B$2,1,4)-WEEKDAY(DATE($B$2,1,4),2)+1+(AF4-1)*7</f>
        <v/>
      </c>
      <c r="AG5" s="12">
        <f>DATE($B$2,1,4)-WEEKDAY(DATE($B$2,1,4),2)+1+(AG4-1)*7</f>
        <v/>
      </c>
      <c r="AH5" s="12">
        <f>DATE($B$2,1,4)-WEEKDAY(DATE($B$2,1,4),2)+1+(AH4-1)*7</f>
        <v/>
      </c>
      <c r="AI5" s="12">
        <f>DATE($B$2,1,4)-WEEKDAY(DATE($B$2,1,4),2)+1+(AI4-1)*7</f>
        <v/>
      </c>
      <c r="AJ5" s="12">
        <f>DATE($B$2,1,4)-WEEKDAY(DATE($B$2,1,4),2)+1+(AJ4-1)*7</f>
        <v/>
      </c>
      <c r="AK5" s="12">
        <f>DATE($B$2,1,4)-WEEKDAY(DATE($B$2,1,4),2)+1+(AK4-1)*7</f>
        <v/>
      </c>
      <c r="AL5" s="12">
        <f>DATE($B$2,1,4)-WEEKDAY(DATE($B$2,1,4),2)+1+(AL4-1)*7</f>
        <v/>
      </c>
      <c r="AM5" s="12">
        <f>DATE($B$2,1,4)-WEEKDAY(DATE($B$2,1,4),2)+1+(AM4-1)*7</f>
        <v/>
      </c>
      <c r="AN5" s="12">
        <f>DATE($B$2,1,4)-WEEKDAY(DATE($B$2,1,4),2)+1+(AN4-1)*7</f>
        <v/>
      </c>
      <c r="AO5" s="12">
        <f>DATE($B$2,1,4)-WEEKDAY(DATE($B$2,1,4),2)+1+(AO4-1)*7</f>
        <v/>
      </c>
      <c r="AP5" s="12">
        <f>DATE($B$2,1,4)-WEEKDAY(DATE($B$2,1,4),2)+1+(AP4-1)*7</f>
        <v/>
      </c>
      <c r="AQ5" s="12">
        <f>DATE($B$2,1,4)-WEEKDAY(DATE($B$2,1,4),2)+1+(AQ4-1)*7</f>
        <v/>
      </c>
      <c r="AR5" s="12">
        <f>DATE($B$2,1,4)-WEEKDAY(DATE($B$2,1,4),2)+1+(AR4-1)*7</f>
        <v/>
      </c>
      <c r="AS5" s="12">
        <f>DATE($B$2,1,4)-WEEKDAY(DATE($B$2,1,4),2)+1+(AS4-1)*7</f>
        <v/>
      </c>
      <c r="AT5" s="12">
        <f>DATE($B$2,1,4)-WEEKDAY(DATE($B$2,1,4),2)+1+(AT4-1)*7</f>
        <v/>
      </c>
      <c r="AU5" s="12">
        <f>DATE($B$2,1,4)-WEEKDAY(DATE($B$2,1,4),2)+1+(AU4-1)*7</f>
        <v/>
      </c>
      <c r="AV5" s="12">
        <f>DATE($B$2,1,4)-WEEKDAY(DATE($B$2,1,4),2)+1+(AV4-1)*7</f>
        <v/>
      </c>
      <c r="AW5" s="12">
        <f>DATE($B$2,1,4)-WEEKDAY(DATE($B$2,1,4),2)+1+(AW4-1)*7</f>
        <v/>
      </c>
      <c r="AX5" s="12">
        <f>DATE($B$2,1,4)-WEEKDAY(DATE($B$2,1,4),2)+1+(AX4-1)*7</f>
        <v/>
      </c>
      <c r="AY5" s="12">
        <f>DATE($B$2,1,4)-WEEKDAY(DATE($B$2,1,4),2)+1+(AY4-1)*7</f>
        <v/>
      </c>
      <c r="AZ5" s="12">
        <f>DATE($B$2,1,4)-WEEKDAY(DATE($B$2,1,4),2)+1+(AZ4-1)*7</f>
        <v/>
      </c>
      <c r="BA5" s="12">
        <f>DATE($B$2,1,4)-WEEKDAY(DATE($B$2,1,4),2)+1+(BA4-1)*7</f>
        <v/>
      </c>
      <c r="BB5" s="12">
        <f>DATE($B$2,1,4)-WEEKDAY(DATE($B$2,1,4),2)+1+(BB4-1)*7</f>
        <v/>
      </c>
      <c r="BC5" s="12">
        <f>DATE($B$2,1,4)-WEEKDAY(DATE($B$2,1,4),2)+1+(BC4-1)*7</f>
        <v/>
      </c>
      <c r="BD5" s="12">
        <f>DATE($B$2,1,4)-WEEKDAY(DATE($B$2,1,4),2)+1+(BD4-1)*7</f>
        <v/>
      </c>
      <c r="BE5" s="12">
        <f>DATE($B$2,1,4)-WEEKDAY(DATE($B$2,1,4),2)+1+(BE4-1)*7</f>
        <v/>
      </c>
    </row>
    <row r="6">
      <c r="A6" s="1" t="n"/>
      <c r="B6" s="1" t="n"/>
      <c r="C6" s="1" t="n"/>
      <c r="D6" s="1" t="n"/>
      <c r="E6" s="10" t="inlineStr">
        <is>
          <t>Måned</t>
        </is>
      </c>
      <c r="F6" s="13">
        <f>CHOOSE(MONTH(F5+3),"jan","feb","mar","apr","mai","jun","jul","aug","sep","okt","nov","des")</f>
        <v/>
      </c>
      <c r="G6" s="13">
        <f>IF(MONTH(G5+3)&lt;&gt;MONTH(F5+3),CHOOSE(MONTH(G5+3),"jan","feb","mar","apr","mai","jun","jul","aug","sep","okt","nov","des"),"")</f>
        <v/>
      </c>
      <c r="H6" s="13">
        <f>IF(MONTH(H5+3)&lt;&gt;MONTH(G5+3),CHOOSE(MONTH(H5+3),"jan","feb","mar","apr","mai","jun","jul","aug","sep","okt","nov","des"),"")</f>
        <v/>
      </c>
      <c r="I6" s="13">
        <f>IF(MONTH(I5+3)&lt;&gt;MONTH(H5+3),CHOOSE(MONTH(I5+3),"jan","feb","mar","apr","mai","jun","jul","aug","sep","okt","nov","des"),"")</f>
        <v/>
      </c>
      <c r="J6" s="13">
        <f>IF(MONTH(J5+3)&lt;&gt;MONTH(I5+3),CHOOSE(MONTH(J5+3),"jan","feb","mar","apr","mai","jun","jul","aug","sep","okt","nov","des"),"")</f>
        <v/>
      </c>
      <c r="K6" s="13">
        <f>IF(MONTH(K5+3)&lt;&gt;MONTH(J5+3),CHOOSE(MONTH(K5+3),"jan","feb","mar","apr","mai","jun","jul","aug","sep","okt","nov","des"),"")</f>
        <v/>
      </c>
      <c r="L6" s="13">
        <f>IF(MONTH(L5+3)&lt;&gt;MONTH(K5+3),CHOOSE(MONTH(L5+3),"jan","feb","mar","apr","mai","jun","jul","aug","sep","okt","nov","des"),"")</f>
        <v/>
      </c>
      <c r="M6" s="13">
        <f>IF(MONTH(M5+3)&lt;&gt;MONTH(L5+3),CHOOSE(MONTH(M5+3),"jan","feb","mar","apr","mai","jun","jul","aug","sep","okt","nov","des"),"")</f>
        <v/>
      </c>
      <c r="N6" s="13">
        <f>IF(MONTH(N5+3)&lt;&gt;MONTH(M5+3),CHOOSE(MONTH(N5+3),"jan","feb","mar","apr","mai","jun","jul","aug","sep","okt","nov","des"),"")</f>
        <v/>
      </c>
      <c r="O6" s="13">
        <f>IF(MONTH(O5+3)&lt;&gt;MONTH(N5+3),CHOOSE(MONTH(O5+3),"jan","feb","mar","apr","mai","jun","jul","aug","sep","okt","nov","des"),"")</f>
        <v/>
      </c>
      <c r="P6" s="13">
        <f>IF(MONTH(P5+3)&lt;&gt;MONTH(O5+3),CHOOSE(MONTH(P5+3),"jan","feb","mar","apr","mai","jun","jul","aug","sep","okt","nov","des"),"")</f>
        <v/>
      </c>
      <c r="Q6" s="13">
        <f>IF(MONTH(Q5+3)&lt;&gt;MONTH(P5+3),CHOOSE(MONTH(Q5+3),"jan","feb","mar","apr","mai","jun","jul","aug","sep","okt","nov","des"),"")</f>
        <v/>
      </c>
      <c r="R6" s="13">
        <f>IF(MONTH(R5+3)&lt;&gt;MONTH(Q5+3),CHOOSE(MONTH(R5+3),"jan","feb","mar","apr","mai","jun","jul","aug","sep","okt","nov","des"),"")</f>
        <v/>
      </c>
      <c r="S6" s="13">
        <f>IF(MONTH(S5+3)&lt;&gt;MONTH(R5+3),CHOOSE(MONTH(S5+3),"jan","feb","mar","apr","mai","jun","jul","aug","sep","okt","nov","des"),"")</f>
        <v/>
      </c>
      <c r="T6" s="13">
        <f>IF(MONTH(T5+3)&lt;&gt;MONTH(S5+3),CHOOSE(MONTH(T5+3),"jan","feb","mar","apr","mai","jun","jul","aug","sep","okt","nov","des"),"")</f>
        <v/>
      </c>
      <c r="U6" s="13">
        <f>IF(MONTH(U5+3)&lt;&gt;MONTH(T5+3),CHOOSE(MONTH(U5+3),"jan","feb","mar","apr","mai","jun","jul","aug","sep","okt","nov","des"),"")</f>
        <v/>
      </c>
      <c r="V6" s="13">
        <f>IF(MONTH(V5+3)&lt;&gt;MONTH(U5+3),CHOOSE(MONTH(V5+3),"jan","feb","mar","apr","mai","jun","jul","aug","sep","okt","nov","des"),"")</f>
        <v/>
      </c>
      <c r="W6" s="13">
        <f>IF(MONTH(W5+3)&lt;&gt;MONTH(V5+3),CHOOSE(MONTH(W5+3),"jan","feb","mar","apr","mai","jun","jul","aug","sep","okt","nov","des"),"")</f>
        <v/>
      </c>
      <c r="X6" s="13">
        <f>IF(MONTH(X5+3)&lt;&gt;MONTH(W5+3),CHOOSE(MONTH(X5+3),"jan","feb","mar","apr","mai","jun","jul","aug","sep","okt","nov","des"),"")</f>
        <v/>
      </c>
      <c r="Y6" s="13">
        <f>IF(MONTH(Y5+3)&lt;&gt;MONTH(X5+3),CHOOSE(MONTH(Y5+3),"jan","feb","mar","apr","mai","jun","jul","aug","sep","okt","nov","des"),"")</f>
        <v/>
      </c>
      <c r="Z6" s="13">
        <f>IF(MONTH(Z5+3)&lt;&gt;MONTH(Y5+3),CHOOSE(MONTH(Z5+3),"jan","feb","mar","apr","mai","jun","jul","aug","sep","okt","nov","des"),"")</f>
        <v/>
      </c>
      <c r="AA6" s="13">
        <f>IF(MONTH(AA5+3)&lt;&gt;MONTH(Z5+3),CHOOSE(MONTH(AA5+3),"jan","feb","mar","apr","mai","jun","jul","aug","sep","okt","nov","des"),"")</f>
        <v/>
      </c>
      <c r="AB6" s="13">
        <f>IF(MONTH(AB5+3)&lt;&gt;MONTH(AA5+3),CHOOSE(MONTH(AB5+3),"jan","feb","mar","apr","mai","jun","jul","aug","sep","okt","nov","des"),"")</f>
        <v/>
      </c>
      <c r="AC6" s="13">
        <f>IF(MONTH(AC5+3)&lt;&gt;MONTH(AB5+3),CHOOSE(MONTH(AC5+3),"jan","feb","mar","apr","mai","jun","jul","aug","sep","okt","nov","des"),"")</f>
        <v/>
      </c>
      <c r="AD6" s="13">
        <f>IF(MONTH(AD5+3)&lt;&gt;MONTH(AC5+3),CHOOSE(MONTH(AD5+3),"jan","feb","mar","apr","mai","jun","jul","aug","sep","okt","nov","des"),"")</f>
        <v/>
      </c>
      <c r="AE6" s="13">
        <f>IF(MONTH(AE5+3)&lt;&gt;MONTH(AD5+3),CHOOSE(MONTH(AE5+3),"jan","feb","mar","apr","mai","jun","jul","aug","sep","okt","nov","des"),"")</f>
        <v/>
      </c>
      <c r="AF6" s="13">
        <f>IF(MONTH(AF5+3)&lt;&gt;MONTH(AE5+3),CHOOSE(MONTH(AF5+3),"jan","feb","mar","apr","mai","jun","jul","aug","sep","okt","nov","des"),"")</f>
        <v/>
      </c>
      <c r="AG6" s="13">
        <f>IF(MONTH(AG5+3)&lt;&gt;MONTH(AF5+3),CHOOSE(MONTH(AG5+3),"jan","feb","mar","apr","mai","jun","jul","aug","sep","okt","nov","des"),"")</f>
        <v/>
      </c>
      <c r="AH6" s="13">
        <f>IF(MONTH(AH5+3)&lt;&gt;MONTH(AG5+3),CHOOSE(MONTH(AH5+3),"jan","feb","mar","apr","mai","jun","jul","aug","sep","okt","nov","des"),"")</f>
        <v/>
      </c>
      <c r="AI6" s="13">
        <f>IF(MONTH(AI5+3)&lt;&gt;MONTH(AH5+3),CHOOSE(MONTH(AI5+3),"jan","feb","mar","apr","mai","jun","jul","aug","sep","okt","nov","des"),"")</f>
        <v/>
      </c>
      <c r="AJ6" s="13">
        <f>IF(MONTH(AJ5+3)&lt;&gt;MONTH(AI5+3),CHOOSE(MONTH(AJ5+3),"jan","feb","mar","apr","mai","jun","jul","aug","sep","okt","nov","des"),"")</f>
        <v/>
      </c>
      <c r="AK6" s="13">
        <f>IF(MONTH(AK5+3)&lt;&gt;MONTH(AJ5+3),CHOOSE(MONTH(AK5+3),"jan","feb","mar","apr","mai","jun","jul","aug","sep","okt","nov","des"),"")</f>
        <v/>
      </c>
      <c r="AL6" s="13">
        <f>IF(MONTH(AL5+3)&lt;&gt;MONTH(AK5+3),CHOOSE(MONTH(AL5+3),"jan","feb","mar","apr","mai","jun","jul","aug","sep","okt","nov","des"),"")</f>
        <v/>
      </c>
      <c r="AM6" s="13">
        <f>IF(MONTH(AM5+3)&lt;&gt;MONTH(AL5+3),CHOOSE(MONTH(AM5+3),"jan","feb","mar","apr","mai","jun","jul","aug","sep","okt","nov","des"),"")</f>
        <v/>
      </c>
      <c r="AN6" s="13">
        <f>IF(MONTH(AN5+3)&lt;&gt;MONTH(AM5+3),CHOOSE(MONTH(AN5+3),"jan","feb","mar","apr","mai","jun","jul","aug","sep","okt","nov","des"),"")</f>
        <v/>
      </c>
      <c r="AO6" s="13">
        <f>IF(MONTH(AO5+3)&lt;&gt;MONTH(AN5+3),CHOOSE(MONTH(AO5+3),"jan","feb","mar","apr","mai","jun","jul","aug","sep","okt","nov","des"),"")</f>
        <v/>
      </c>
      <c r="AP6" s="13">
        <f>IF(MONTH(AP5+3)&lt;&gt;MONTH(AO5+3),CHOOSE(MONTH(AP5+3),"jan","feb","mar","apr","mai","jun","jul","aug","sep","okt","nov","des"),"")</f>
        <v/>
      </c>
      <c r="AQ6" s="13">
        <f>IF(MONTH(AQ5+3)&lt;&gt;MONTH(AP5+3),CHOOSE(MONTH(AQ5+3),"jan","feb","mar","apr","mai","jun","jul","aug","sep","okt","nov","des"),"")</f>
        <v/>
      </c>
      <c r="AR6" s="13">
        <f>IF(MONTH(AR5+3)&lt;&gt;MONTH(AQ5+3),CHOOSE(MONTH(AR5+3),"jan","feb","mar","apr","mai","jun","jul","aug","sep","okt","nov","des"),"")</f>
        <v/>
      </c>
      <c r="AS6" s="13">
        <f>IF(MONTH(AS5+3)&lt;&gt;MONTH(AR5+3),CHOOSE(MONTH(AS5+3),"jan","feb","mar","apr","mai","jun","jul","aug","sep","okt","nov","des"),"")</f>
        <v/>
      </c>
      <c r="AT6" s="13">
        <f>IF(MONTH(AT5+3)&lt;&gt;MONTH(AS5+3),CHOOSE(MONTH(AT5+3),"jan","feb","mar","apr","mai","jun","jul","aug","sep","okt","nov","des"),"")</f>
        <v/>
      </c>
      <c r="AU6" s="13">
        <f>IF(MONTH(AU5+3)&lt;&gt;MONTH(AT5+3),CHOOSE(MONTH(AU5+3),"jan","feb","mar","apr","mai","jun","jul","aug","sep","okt","nov","des"),"")</f>
        <v/>
      </c>
      <c r="AV6" s="13">
        <f>IF(MONTH(AV5+3)&lt;&gt;MONTH(AU5+3),CHOOSE(MONTH(AV5+3),"jan","feb","mar","apr","mai","jun","jul","aug","sep","okt","nov","des"),"")</f>
        <v/>
      </c>
      <c r="AW6" s="13">
        <f>IF(MONTH(AW5+3)&lt;&gt;MONTH(AV5+3),CHOOSE(MONTH(AW5+3),"jan","feb","mar","apr","mai","jun","jul","aug","sep","okt","nov","des"),"")</f>
        <v/>
      </c>
      <c r="AX6" s="13">
        <f>IF(MONTH(AX5+3)&lt;&gt;MONTH(AW5+3),CHOOSE(MONTH(AX5+3),"jan","feb","mar","apr","mai","jun","jul","aug","sep","okt","nov","des"),"")</f>
        <v/>
      </c>
      <c r="AY6" s="13">
        <f>IF(MONTH(AY5+3)&lt;&gt;MONTH(AX5+3),CHOOSE(MONTH(AY5+3),"jan","feb","mar","apr","mai","jun","jul","aug","sep","okt","nov","des"),"")</f>
        <v/>
      </c>
      <c r="AZ6" s="13">
        <f>IF(MONTH(AZ5+3)&lt;&gt;MONTH(AY5+3),CHOOSE(MONTH(AZ5+3),"jan","feb","mar","apr","mai","jun","jul","aug","sep","okt","nov","des"),"")</f>
        <v/>
      </c>
      <c r="BA6" s="13">
        <f>IF(MONTH(BA5+3)&lt;&gt;MONTH(AZ5+3),CHOOSE(MONTH(BA5+3),"jan","feb","mar","apr","mai","jun","jul","aug","sep","okt","nov","des"),"")</f>
        <v/>
      </c>
      <c r="BB6" s="13">
        <f>IF(MONTH(BB5+3)&lt;&gt;MONTH(BA5+3),CHOOSE(MONTH(BB5+3),"jan","feb","mar","apr","mai","jun","jul","aug","sep","okt","nov","des"),"")</f>
        <v/>
      </c>
      <c r="BC6" s="13">
        <f>IF(MONTH(BC5+3)&lt;&gt;MONTH(BB5+3),CHOOSE(MONTH(BC5+3),"jan","feb","mar","apr","mai","jun","jul","aug","sep","okt","nov","des"),"")</f>
        <v/>
      </c>
      <c r="BD6" s="13">
        <f>IF(MONTH(BD5+3)&lt;&gt;MONTH(BC5+3),CHOOSE(MONTH(BD5+3),"jan","feb","mar","apr","mai","jun","jul","aug","sep","okt","nov","des"),"")</f>
        <v/>
      </c>
      <c r="BE6" s="13">
        <f>IF(MONTH(BE5+3)&lt;&gt;MONTH(BD5+3),CHOOSE(MONTH(BE5+3),"jan","feb","mar","apr","mai","jun","jul","aug","sep","okt","nov","des"),"")</f>
        <v/>
      </c>
    </row>
    <row r="7">
      <c r="A7" s="1" t="n"/>
      <c r="B7" s="1" t="n"/>
      <c r="C7" s="1" t="n"/>
      <c r="D7" s="1" t="n"/>
      <c r="E7" s="10" t="inlineStr">
        <is>
          <t>Tilgjengelig (x)</t>
        </is>
      </c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inlineStr">
        <is>
          <t>x</t>
        </is>
      </c>
      <c r="AY7" s="14" t="inlineStr">
        <is>
          <t>x</t>
        </is>
      </c>
      <c r="AZ7" s="14" t="inlineStr">
        <is>
          <t>x</t>
        </is>
      </c>
      <c r="BA7" s="14" t="inlineStr">
        <is>
          <t>x</t>
        </is>
      </c>
      <c r="BB7" s="14" t="n"/>
      <c r="BC7" s="14" t="n"/>
      <c r="BD7" s="14" t="n"/>
      <c r="BE7" s="14" t="n"/>
    </row>
    <row r="8" ht="28" customHeight="1">
      <c r="A8" s="15" t="inlineStr">
        <is>
          <t>ID</t>
        </is>
      </c>
      <c r="B8" s="15" t="inlineStr">
        <is>
          <t>Destinasjon</t>
        </is>
      </c>
      <c r="C8" s="15" t="inlineStr">
        <is>
          <t>Region</t>
        </is>
      </c>
      <c r="D8" s="15" t="inlineStr">
        <is>
          <t>Snitt mine uker</t>
        </is>
      </c>
      <c r="E8" s="15" t="inlineStr">
        <is>
          <t>Laveste mine uker</t>
        </is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</row>
    <row r="9">
      <c r="A9" s="5">
        <f>IF(Destinasjoner!A5="","",Destinasjoner!A5)</f>
        <v/>
      </c>
      <c r="B9" s="5">
        <f>IF(A9="","",Destinasjoner!E5)</f>
        <v/>
      </c>
      <c r="C9" s="5">
        <f>IF(A9="","",Destinasjoner!B5)</f>
        <v/>
      </c>
      <c r="D9" s="17">
        <f>IFERROR(SUMIFS(F9:BE9,$F$7:$BE$7,"x")/COUNTIFS($F$7:$BE$7,"x",F9:BE9,"&gt;0"),"")</f>
        <v/>
      </c>
      <c r="E9" s="18">
        <f>IF(D9="","",_xlfn.MINIFS(F9:BE9,$F$7:$BE$7,"x",F9:BE9,"&gt;0"))</f>
        <v/>
      </c>
      <c r="F9" s="19">
        <f>IF($A9="","",IF(COUNTIFS(Måned!$A$5:$A$2000,$A9,Måned!$C$5:$C$2000,MONTH(F$5+3))=0,"",MAX(1,MIN(5,SUMIFS(Måned!$H$5:$H$2000,Måned!$A$5:$A$2000,$A9,Måned!$C$5:$C$2000,MONTH(F$5+3))+SUMPRODUCT((Vinduer!$A$5:$A$300=$A9)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9" s="19">
        <f>IF($A9="","",IF(COUNTIFS(Måned!$A$5:$A$2000,$A9,Måned!$C$5:$C$2000,MONTH(G$5+3))=0,"",MAX(1,MIN(5,SUMIFS(Måned!$H$5:$H$2000,Måned!$A$5:$A$2000,$A9,Måned!$C$5:$C$2000,MONTH(G$5+3))+SUMPRODUCT((Vinduer!$A$5:$A$300=$A9)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9" s="19">
        <f>IF($A9="","",IF(COUNTIFS(Måned!$A$5:$A$2000,$A9,Måned!$C$5:$C$2000,MONTH(H$5+3))=0,"",MAX(1,MIN(5,SUMIFS(Måned!$H$5:$H$2000,Måned!$A$5:$A$2000,$A9,Måned!$C$5:$C$2000,MONTH(H$5+3))+SUMPRODUCT((Vinduer!$A$5:$A$300=$A9)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9" s="19">
        <f>IF($A9="","",IF(COUNTIFS(Måned!$A$5:$A$2000,$A9,Måned!$C$5:$C$2000,MONTH(I$5+3))=0,"",MAX(1,MIN(5,SUMIFS(Måned!$H$5:$H$2000,Måned!$A$5:$A$2000,$A9,Måned!$C$5:$C$2000,MONTH(I$5+3))+SUMPRODUCT((Vinduer!$A$5:$A$300=$A9)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9" s="19">
        <f>IF($A9="","",IF(COUNTIFS(Måned!$A$5:$A$2000,$A9,Måned!$C$5:$C$2000,MONTH(J$5+3))=0,"",MAX(1,MIN(5,SUMIFS(Måned!$H$5:$H$2000,Måned!$A$5:$A$2000,$A9,Måned!$C$5:$C$2000,MONTH(J$5+3))+SUMPRODUCT((Vinduer!$A$5:$A$300=$A9)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9" s="19">
        <f>IF($A9="","",IF(COUNTIFS(Måned!$A$5:$A$2000,$A9,Måned!$C$5:$C$2000,MONTH(K$5+3))=0,"",MAX(1,MIN(5,SUMIFS(Måned!$H$5:$H$2000,Måned!$A$5:$A$2000,$A9,Måned!$C$5:$C$2000,MONTH(K$5+3))+SUMPRODUCT((Vinduer!$A$5:$A$300=$A9)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9" s="19">
        <f>IF($A9="","",IF(COUNTIFS(Måned!$A$5:$A$2000,$A9,Måned!$C$5:$C$2000,MONTH(L$5+3))=0,"",MAX(1,MIN(5,SUMIFS(Måned!$H$5:$H$2000,Måned!$A$5:$A$2000,$A9,Måned!$C$5:$C$2000,MONTH(L$5+3))+SUMPRODUCT((Vinduer!$A$5:$A$300=$A9)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9" s="19">
        <f>IF($A9="","",IF(COUNTIFS(Måned!$A$5:$A$2000,$A9,Måned!$C$5:$C$2000,MONTH(M$5+3))=0,"",MAX(1,MIN(5,SUMIFS(Måned!$H$5:$H$2000,Måned!$A$5:$A$2000,$A9,Måned!$C$5:$C$2000,MONTH(M$5+3))+SUMPRODUCT((Vinduer!$A$5:$A$300=$A9)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9" s="19">
        <f>IF($A9="","",IF(COUNTIFS(Måned!$A$5:$A$2000,$A9,Måned!$C$5:$C$2000,MONTH(N$5+3))=0,"",MAX(1,MIN(5,SUMIFS(Måned!$H$5:$H$2000,Måned!$A$5:$A$2000,$A9,Måned!$C$5:$C$2000,MONTH(N$5+3))+SUMPRODUCT((Vinduer!$A$5:$A$300=$A9)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9" s="19">
        <f>IF($A9="","",IF(COUNTIFS(Måned!$A$5:$A$2000,$A9,Måned!$C$5:$C$2000,MONTH(O$5+3))=0,"",MAX(1,MIN(5,SUMIFS(Måned!$H$5:$H$2000,Måned!$A$5:$A$2000,$A9,Måned!$C$5:$C$2000,MONTH(O$5+3))+SUMPRODUCT((Vinduer!$A$5:$A$300=$A9)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9" s="19">
        <f>IF($A9="","",IF(COUNTIFS(Måned!$A$5:$A$2000,$A9,Måned!$C$5:$C$2000,MONTH(P$5+3))=0,"",MAX(1,MIN(5,SUMIFS(Måned!$H$5:$H$2000,Måned!$A$5:$A$2000,$A9,Måned!$C$5:$C$2000,MONTH(P$5+3))+SUMPRODUCT((Vinduer!$A$5:$A$300=$A9)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9" s="19">
        <f>IF($A9="","",IF(COUNTIFS(Måned!$A$5:$A$2000,$A9,Måned!$C$5:$C$2000,MONTH(Q$5+3))=0,"",MAX(1,MIN(5,SUMIFS(Måned!$H$5:$H$2000,Måned!$A$5:$A$2000,$A9,Måned!$C$5:$C$2000,MONTH(Q$5+3))+SUMPRODUCT((Vinduer!$A$5:$A$300=$A9)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9" s="19">
        <f>IF($A9="","",IF(COUNTIFS(Måned!$A$5:$A$2000,$A9,Måned!$C$5:$C$2000,MONTH(R$5+3))=0,"",MAX(1,MIN(5,SUMIFS(Måned!$H$5:$H$2000,Måned!$A$5:$A$2000,$A9,Måned!$C$5:$C$2000,MONTH(R$5+3))+SUMPRODUCT((Vinduer!$A$5:$A$300=$A9)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9" s="19">
        <f>IF($A9="","",IF(COUNTIFS(Måned!$A$5:$A$2000,$A9,Måned!$C$5:$C$2000,MONTH(S$5+3))=0,"",MAX(1,MIN(5,SUMIFS(Måned!$H$5:$H$2000,Måned!$A$5:$A$2000,$A9,Måned!$C$5:$C$2000,MONTH(S$5+3))+SUMPRODUCT((Vinduer!$A$5:$A$300=$A9)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9" s="19">
        <f>IF($A9="","",IF(COUNTIFS(Måned!$A$5:$A$2000,$A9,Måned!$C$5:$C$2000,MONTH(T$5+3))=0,"",MAX(1,MIN(5,SUMIFS(Måned!$H$5:$H$2000,Måned!$A$5:$A$2000,$A9,Måned!$C$5:$C$2000,MONTH(T$5+3))+SUMPRODUCT((Vinduer!$A$5:$A$300=$A9)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9" s="19">
        <f>IF($A9="","",IF(COUNTIFS(Måned!$A$5:$A$2000,$A9,Måned!$C$5:$C$2000,MONTH(U$5+3))=0,"",MAX(1,MIN(5,SUMIFS(Måned!$H$5:$H$2000,Måned!$A$5:$A$2000,$A9,Måned!$C$5:$C$2000,MONTH(U$5+3))+SUMPRODUCT((Vinduer!$A$5:$A$300=$A9)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9" s="19">
        <f>IF($A9="","",IF(COUNTIFS(Måned!$A$5:$A$2000,$A9,Måned!$C$5:$C$2000,MONTH(V$5+3))=0,"",MAX(1,MIN(5,SUMIFS(Måned!$H$5:$H$2000,Måned!$A$5:$A$2000,$A9,Måned!$C$5:$C$2000,MONTH(V$5+3))+SUMPRODUCT((Vinduer!$A$5:$A$300=$A9)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9" s="19">
        <f>IF($A9="","",IF(COUNTIFS(Måned!$A$5:$A$2000,$A9,Måned!$C$5:$C$2000,MONTH(W$5+3))=0,"",MAX(1,MIN(5,SUMIFS(Måned!$H$5:$H$2000,Måned!$A$5:$A$2000,$A9,Måned!$C$5:$C$2000,MONTH(W$5+3))+SUMPRODUCT((Vinduer!$A$5:$A$300=$A9)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9" s="19">
        <f>IF($A9="","",IF(COUNTIFS(Måned!$A$5:$A$2000,$A9,Måned!$C$5:$C$2000,MONTH(X$5+3))=0,"",MAX(1,MIN(5,SUMIFS(Måned!$H$5:$H$2000,Måned!$A$5:$A$2000,$A9,Måned!$C$5:$C$2000,MONTH(X$5+3))+SUMPRODUCT((Vinduer!$A$5:$A$300=$A9)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9" s="19">
        <f>IF($A9="","",IF(COUNTIFS(Måned!$A$5:$A$2000,$A9,Måned!$C$5:$C$2000,MONTH(Y$5+3))=0,"",MAX(1,MIN(5,SUMIFS(Måned!$H$5:$H$2000,Måned!$A$5:$A$2000,$A9,Måned!$C$5:$C$2000,MONTH(Y$5+3))+SUMPRODUCT((Vinduer!$A$5:$A$300=$A9)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9" s="19">
        <f>IF($A9="","",IF(COUNTIFS(Måned!$A$5:$A$2000,$A9,Måned!$C$5:$C$2000,MONTH(Z$5+3))=0,"",MAX(1,MIN(5,SUMIFS(Måned!$H$5:$H$2000,Måned!$A$5:$A$2000,$A9,Måned!$C$5:$C$2000,MONTH(Z$5+3))+SUMPRODUCT((Vinduer!$A$5:$A$300=$A9)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9" s="19">
        <f>IF($A9="","",IF(COUNTIFS(Måned!$A$5:$A$2000,$A9,Måned!$C$5:$C$2000,MONTH(AA$5+3))=0,"",MAX(1,MIN(5,SUMIFS(Måned!$H$5:$H$2000,Måned!$A$5:$A$2000,$A9,Måned!$C$5:$C$2000,MONTH(AA$5+3))+SUMPRODUCT((Vinduer!$A$5:$A$300=$A9)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9" s="19">
        <f>IF($A9="","",IF(COUNTIFS(Måned!$A$5:$A$2000,$A9,Måned!$C$5:$C$2000,MONTH(AB$5+3))=0,"",MAX(1,MIN(5,SUMIFS(Måned!$H$5:$H$2000,Måned!$A$5:$A$2000,$A9,Måned!$C$5:$C$2000,MONTH(AB$5+3))+SUMPRODUCT((Vinduer!$A$5:$A$300=$A9)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9" s="19">
        <f>IF($A9="","",IF(COUNTIFS(Måned!$A$5:$A$2000,$A9,Måned!$C$5:$C$2000,MONTH(AC$5+3))=0,"",MAX(1,MIN(5,SUMIFS(Måned!$H$5:$H$2000,Måned!$A$5:$A$2000,$A9,Måned!$C$5:$C$2000,MONTH(AC$5+3))+SUMPRODUCT((Vinduer!$A$5:$A$300=$A9)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9" s="19">
        <f>IF($A9="","",IF(COUNTIFS(Måned!$A$5:$A$2000,$A9,Måned!$C$5:$C$2000,MONTH(AD$5+3))=0,"",MAX(1,MIN(5,SUMIFS(Måned!$H$5:$H$2000,Måned!$A$5:$A$2000,$A9,Måned!$C$5:$C$2000,MONTH(AD$5+3))+SUMPRODUCT((Vinduer!$A$5:$A$300=$A9)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9" s="19">
        <f>IF($A9="","",IF(COUNTIFS(Måned!$A$5:$A$2000,$A9,Måned!$C$5:$C$2000,MONTH(AE$5+3))=0,"",MAX(1,MIN(5,SUMIFS(Måned!$H$5:$H$2000,Måned!$A$5:$A$2000,$A9,Måned!$C$5:$C$2000,MONTH(AE$5+3))+SUMPRODUCT((Vinduer!$A$5:$A$300=$A9)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9" s="19">
        <f>IF($A9="","",IF(COUNTIFS(Måned!$A$5:$A$2000,$A9,Måned!$C$5:$C$2000,MONTH(AF$5+3))=0,"",MAX(1,MIN(5,SUMIFS(Måned!$H$5:$H$2000,Måned!$A$5:$A$2000,$A9,Måned!$C$5:$C$2000,MONTH(AF$5+3))+SUMPRODUCT((Vinduer!$A$5:$A$300=$A9)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9" s="19">
        <f>IF($A9="","",IF(COUNTIFS(Måned!$A$5:$A$2000,$A9,Måned!$C$5:$C$2000,MONTH(AG$5+3))=0,"",MAX(1,MIN(5,SUMIFS(Måned!$H$5:$H$2000,Måned!$A$5:$A$2000,$A9,Måned!$C$5:$C$2000,MONTH(AG$5+3))+SUMPRODUCT((Vinduer!$A$5:$A$300=$A9)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9" s="19">
        <f>IF($A9="","",IF(COUNTIFS(Måned!$A$5:$A$2000,$A9,Måned!$C$5:$C$2000,MONTH(AH$5+3))=0,"",MAX(1,MIN(5,SUMIFS(Måned!$H$5:$H$2000,Måned!$A$5:$A$2000,$A9,Måned!$C$5:$C$2000,MONTH(AH$5+3))+SUMPRODUCT((Vinduer!$A$5:$A$300=$A9)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9" s="19">
        <f>IF($A9="","",IF(COUNTIFS(Måned!$A$5:$A$2000,$A9,Måned!$C$5:$C$2000,MONTH(AI$5+3))=0,"",MAX(1,MIN(5,SUMIFS(Måned!$H$5:$H$2000,Måned!$A$5:$A$2000,$A9,Måned!$C$5:$C$2000,MONTH(AI$5+3))+SUMPRODUCT((Vinduer!$A$5:$A$300=$A9)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9" s="19">
        <f>IF($A9="","",IF(COUNTIFS(Måned!$A$5:$A$2000,$A9,Måned!$C$5:$C$2000,MONTH(AJ$5+3))=0,"",MAX(1,MIN(5,SUMIFS(Måned!$H$5:$H$2000,Måned!$A$5:$A$2000,$A9,Måned!$C$5:$C$2000,MONTH(AJ$5+3))+SUMPRODUCT((Vinduer!$A$5:$A$300=$A9)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9" s="19">
        <f>IF($A9="","",IF(COUNTIFS(Måned!$A$5:$A$2000,$A9,Måned!$C$5:$C$2000,MONTH(AK$5+3))=0,"",MAX(1,MIN(5,SUMIFS(Måned!$H$5:$H$2000,Måned!$A$5:$A$2000,$A9,Måned!$C$5:$C$2000,MONTH(AK$5+3))+SUMPRODUCT((Vinduer!$A$5:$A$300=$A9)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9" s="19">
        <f>IF($A9="","",IF(COUNTIFS(Måned!$A$5:$A$2000,$A9,Måned!$C$5:$C$2000,MONTH(AL$5+3))=0,"",MAX(1,MIN(5,SUMIFS(Måned!$H$5:$H$2000,Måned!$A$5:$A$2000,$A9,Måned!$C$5:$C$2000,MONTH(AL$5+3))+SUMPRODUCT((Vinduer!$A$5:$A$300=$A9)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9" s="19">
        <f>IF($A9="","",IF(COUNTIFS(Måned!$A$5:$A$2000,$A9,Måned!$C$5:$C$2000,MONTH(AM$5+3))=0,"",MAX(1,MIN(5,SUMIFS(Måned!$H$5:$H$2000,Måned!$A$5:$A$2000,$A9,Måned!$C$5:$C$2000,MONTH(AM$5+3))+SUMPRODUCT((Vinduer!$A$5:$A$300=$A9)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9" s="19">
        <f>IF($A9="","",IF(COUNTIFS(Måned!$A$5:$A$2000,$A9,Måned!$C$5:$C$2000,MONTH(AN$5+3))=0,"",MAX(1,MIN(5,SUMIFS(Måned!$H$5:$H$2000,Måned!$A$5:$A$2000,$A9,Måned!$C$5:$C$2000,MONTH(AN$5+3))+SUMPRODUCT((Vinduer!$A$5:$A$300=$A9)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9" s="19">
        <f>IF($A9="","",IF(COUNTIFS(Måned!$A$5:$A$2000,$A9,Måned!$C$5:$C$2000,MONTH(AO$5+3))=0,"",MAX(1,MIN(5,SUMIFS(Måned!$H$5:$H$2000,Måned!$A$5:$A$2000,$A9,Måned!$C$5:$C$2000,MONTH(AO$5+3))+SUMPRODUCT((Vinduer!$A$5:$A$300=$A9)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9" s="19">
        <f>IF($A9="","",IF(COUNTIFS(Måned!$A$5:$A$2000,$A9,Måned!$C$5:$C$2000,MONTH(AP$5+3))=0,"",MAX(1,MIN(5,SUMIFS(Måned!$H$5:$H$2000,Måned!$A$5:$A$2000,$A9,Måned!$C$5:$C$2000,MONTH(AP$5+3))+SUMPRODUCT((Vinduer!$A$5:$A$300=$A9)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9" s="19">
        <f>IF($A9="","",IF(COUNTIFS(Måned!$A$5:$A$2000,$A9,Måned!$C$5:$C$2000,MONTH(AQ$5+3))=0,"",MAX(1,MIN(5,SUMIFS(Måned!$H$5:$H$2000,Måned!$A$5:$A$2000,$A9,Måned!$C$5:$C$2000,MONTH(AQ$5+3))+SUMPRODUCT((Vinduer!$A$5:$A$300=$A9)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9" s="19">
        <f>IF($A9="","",IF(COUNTIFS(Måned!$A$5:$A$2000,$A9,Måned!$C$5:$C$2000,MONTH(AR$5+3))=0,"",MAX(1,MIN(5,SUMIFS(Måned!$H$5:$H$2000,Måned!$A$5:$A$2000,$A9,Måned!$C$5:$C$2000,MONTH(AR$5+3))+SUMPRODUCT((Vinduer!$A$5:$A$300=$A9)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9" s="19">
        <f>IF($A9="","",IF(COUNTIFS(Måned!$A$5:$A$2000,$A9,Måned!$C$5:$C$2000,MONTH(AS$5+3))=0,"",MAX(1,MIN(5,SUMIFS(Måned!$H$5:$H$2000,Måned!$A$5:$A$2000,$A9,Måned!$C$5:$C$2000,MONTH(AS$5+3))+SUMPRODUCT((Vinduer!$A$5:$A$300=$A9)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9" s="19">
        <f>IF($A9="","",IF(COUNTIFS(Måned!$A$5:$A$2000,$A9,Måned!$C$5:$C$2000,MONTH(AT$5+3))=0,"",MAX(1,MIN(5,SUMIFS(Måned!$H$5:$H$2000,Måned!$A$5:$A$2000,$A9,Måned!$C$5:$C$2000,MONTH(AT$5+3))+SUMPRODUCT((Vinduer!$A$5:$A$300=$A9)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9" s="19">
        <f>IF($A9="","",IF(COUNTIFS(Måned!$A$5:$A$2000,$A9,Måned!$C$5:$C$2000,MONTH(AU$5+3))=0,"",MAX(1,MIN(5,SUMIFS(Måned!$H$5:$H$2000,Måned!$A$5:$A$2000,$A9,Måned!$C$5:$C$2000,MONTH(AU$5+3))+SUMPRODUCT((Vinduer!$A$5:$A$300=$A9)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9" s="19">
        <f>IF($A9="","",IF(COUNTIFS(Måned!$A$5:$A$2000,$A9,Måned!$C$5:$C$2000,MONTH(AV$5+3))=0,"",MAX(1,MIN(5,SUMIFS(Måned!$H$5:$H$2000,Måned!$A$5:$A$2000,$A9,Måned!$C$5:$C$2000,MONTH(AV$5+3))+SUMPRODUCT((Vinduer!$A$5:$A$300=$A9)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9" s="19">
        <f>IF($A9="","",IF(COUNTIFS(Måned!$A$5:$A$2000,$A9,Måned!$C$5:$C$2000,MONTH(AW$5+3))=0,"",MAX(1,MIN(5,SUMIFS(Måned!$H$5:$H$2000,Måned!$A$5:$A$2000,$A9,Måned!$C$5:$C$2000,MONTH(AW$5+3))+SUMPRODUCT((Vinduer!$A$5:$A$300=$A9)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9" s="19">
        <f>IF($A9="","",IF(COUNTIFS(Måned!$A$5:$A$2000,$A9,Måned!$C$5:$C$2000,MONTH(AX$5+3))=0,"",MAX(1,MIN(5,SUMIFS(Måned!$H$5:$H$2000,Måned!$A$5:$A$2000,$A9,Måned!$C$5:$C$2000,MONTH(AX$5+3))+SUMPRODUCT((Vinduer!$A$5:$A$300=$A9)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9" s="19">
        <f>IF($A9="","",IF(COUNTIFS(Måned!$A$5:$A$2000,$A9,Måned!$C$5:$C$2000,MONTH(AY$5+3))=0,"",MAX(1,MIN(5,SUMIFS(Måned!$H$5:$H$2000,Måned!$A$5:$A$2000,$A9,Måned!$C$5:$C$2000,MONTH(AY$5+3))+SUMPRODUCT((Vinduer!$A$5:$A$300=$A9)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9" s="19">
        <f>IF($A9="","",IF(COUNTIFS(Måned!$A$5:$A$2000,$A9,Måned!$C$5:$C$2000,MONTH(AZ$5+3))=0,"",MAX(1,MIN(5,SUMIFS(Måned!$H$5:$H$2000,Måned!$A$5:$A$2000,$A9,Måned!$C$5:$C$2000,MONTH(AZ$5+3))+SUMPRODUCT((Vinduer!$A$5:$A$300=$A9)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9" s="19">
        <f>IF($A9="","",IF(COUNTIFS(Måned!$A$5:$A$2000,$A9,Måned!$C$5:$C$2000,MONTH(BA$5+3))=0,"",MAX(1,MIN(5,SUMIFS(Måned!$H$5:$H$2000,Måned!$A$5:$A$2000,$A9,Måned!$C$5:$C$2000,MONTH(BA$5+3))+SUMPRODUCT((Vinduer!$A$5:$A$300=$A9)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9" s="19">
        <f>IF($A9="","",IF(COUNTIFS(Måned!$A$5:$A$2000,$A9,Måned!$C$5:$C$2000,MONTH(BB$5+3))=0,"",MAX(1,MIN(5,SUMIFS(Måned!$H$5:$H$2000,Måned!$A$5:$A$2000,$A9,Måned!$C$5:$C$2000,MONTH(BB$5+3))+SUMPRODUCT((Vinduer!$A$5:$A$300=$A9)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9" s="19">
        <f>IF($A9="","",IF(COUNTIFS(Måned!$A$5:$A$2000,$A9,Måned!$C$5:$C$2000,MONTH(BC$5+3))=0,"",MAX(1,MIN(5,SUMIFS(Måned!$H$5:$H$2000,Måned!$A$5:$A$2000,$A9,Måned!$C$5:$C$2000,MONTH(BC$5+3))+SUMPRODUCT((Vinduer!$A$5:$A$300=$A9)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9" s="19">
        <f>IF($A9="","",IF(COUNTIFS(Måned!$A$5:$A$2000,$A9,Måned!$C$5:$C$2000,MONTH(BD$5+3))=0,"",MAX(1,MIN(5,SUMIFS(Måned!$H$5:$H$2000,Måned!$A$5:$A$2000,$A9,Måned!$C$5:$C$2000,MONTH(BD$5+3))+SUMPRODUCT((Vinduer!$A$5:$A$300=$A9)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9" s="19">
        <f>IF($A9="","",IF(COUNTIFS(Måned!$A$5:$A$2000,$A9,Måned!$C$5:$C$2000,MONTH(BE$5+3))=0,"",MAX(1,MIN(5,SUMIFS(Måned!$H$5:$H$2000,Måned!$A$5:$A$2000,$A9,Måned!$C$5:$C$2000,MONTH(BE$5+3))+SUMPRODUCT((Vinduer!$A$5:$A$300=$A9)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0">
      <c r="A10" s="5">
        <f>IF(Destinasjoner!A6="","",Destinasjoner!A6)</f>
        <v/>
      </c>
      <c r="B10" s="5">
        <f>IF(A10="","",Destinasjoner!E6)</f>
        <v/>
      </c>
      <c r="C10" s="5">
        <f>IF(A10="","",Destinasjoner!B6)</f>
        <v/>
      </c>
      <c r="D10" s="17">
        <f>IFERROR(SUMIFS(F10:BE10,$F$7:$BE$7,"x")/COUNTIFS($F$7:$BE$7,"x",F10:BE10,"&gt;0"),"")</f>
        <v/>
      </c>
      <c r="E10" s="18">
        <f>IF(D10="","",_xlfn.MINIFS(F10:BE10,$F$7:$BE$7,"x",F10:BE10,"&gt;0"))</f>
        <v/>
      </c>
      <c r="F10" s="19">
        <f>IF($A10="","",IF(COUNTIFS(Måned!$A$5:$A$2000,$A10,Måned!$C$5:$C$2000,MONTH(F$5+3))=0,"",MAX(1,MIN(5,SUMIFS(Måned!$H$5:$H$2000,Måned!$A$5:$A$2000,$A10,Måned!$C$5:$C$2000,MONTH(F$5+3))+SUMPRODUCT((Vinduer!$A$5:$A$300=$A10)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0" s="19">
        <f>IF($A10="","",IF(COUNTIFS(Måned!$A$5:$A$2000,$A10,Måned!$C$5:$C$2000,MONTH(G$5+3))=0,"",MAX(1,MIN(5,SUMIFS(Måned!$H$5:$H$2000,Måned!$A$5:$A$2000,$A10,Måned!$C$5:$C$2000,MONTH(G$5+3))+SUMPRODUCT((Vinduer!$A$5:$A$300=$A10)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0" s="19">
        <f>IF($A10="","",IF(COUNTIFS(Måned!$A$5:$A$2000,$A10,Måned!$C$5:$C$2000,MONTH(H$5+3))=0,"",MAX(1,MIN(5,SUMIFS(Måned!$H$5:$H$2000,Måned!$A$5:$A$2000,$A10,Måned!$C$5:$C$2000,MONTH(H$5+3))+SUMPRODUCT((Vinduer!$A$5:$A$300=$A10)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0" s="19">
        <f>IF($A10="","",IF(COUNTIFS(Måned!$A$5:$A$2000,$A10,Måned!$C$5:$C$2000,MONTH(I$5+3))=0,"",MAX(1,MIN(5,SUMIFS(Måned!$H$5:$H$2000,Måned!$A$5:$A$2000,$A10,Måned!$C$5:$C$2000,MONTH(I$5+3))+SUMPRODUCT((Vinduer!$A$5:$A$300=$A10)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0" s="19">
        <f>IF($A10="","",IF(COUNTIFS(Måned!$A$5:$A$2000,$A10,Måned!$C$5:$C$2000,MONTH(J$5+3))=0,"",MAX(1,MIN(5,SUMIFS(Måned!$H$5:$H$2000,Måned!$A$5:$A$2000,$A10,Måned!$C$5:$C$2000,MONTH(J$5+3))+SUMPRODUCT((Vinduer!$A$5:$A$300=$A10)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0" s="19">
        <f>IF($A10="","",IF(COUNTIFS(Måned!$A$5:$A$2000,$A10,Måned!$C$5:$C$2000,MONTH(K$5+3))=0,"",MAX(1,MIN(5,SUMIFS(Måned!$H$5:$H$2000,Måned!$A$5:$A$2000,$A10,Måned!$C$5:$C$2000,MONTH(K$5+3))+SUMPRODUCT((Vinduer!$A$5:$A$300=$A10)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0" s="19">
        <f>IF($A10="","",IF(COUNTIFS(Måned!$A$5:$A$2000,$A10,Måned!$C$5:$C$2000,MONTH(L$5+3))=0,"",MAX(1,MIN(5,SUMIFS(Måned!$H$5:$H$2000,Måned!$A$5:$A$2000,$A10,Måned!$C$5:$C$2000,MONTH(L$5+3))+SUMPRODUCT((Vinduer!$A$5:$A$300=$A10)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0" s="19">
        <f>IF($A10="","",IF(COUNTIFS(Måned!$A$5:$A$2000,$A10,Måned!$C$5:$C$2000,MONTH(M$5+3))=0,"",MAX(1,MIN(5,SUMIFS(Måned!$H$5:$H$2000,Måned!$A$5:$A$2000,$A10,Måned!$C$5:$C$2000,MONTH(M$5+3))+SUMPRODUCT((Vinduer!$A$5:$A$300=$A10)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0" s="19">
        <f>IF($A10="","",IF(COUNTIFS(Måned!$A$5:$A$2000,$A10,Måned!$C$5:$C$2000,MONTH(N$5+3))=0,"",MAX(1,MIN(5,SUMIFS(Måned!$H$5:$H$2000,Måned!$A$5:$A$2000,$A10,Måned!$C$5:$C$2000,MONTH(N$5+3))+SUMPRODUCT((Vinduer!$A$5:$A$300=$A10)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0" s="19">
        <f>IF($A10="","",IF(COUNTIFS(Måned!$A$5:$A$2000,$A10,Måned!$C$5:$C$2000,MONTH(O$5+3))=0,"",MAX(1,MIN(5,SUMIFS(Måned!$H$5:$H$2000,Måned!$A$5:$A$2000,$A10,Måned!$C$5:$C$2000,MONTH(O$5+3))+SUMPRODUCT((Vinduer!$A$5:$A$300=$A10)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0" s="19">
        <f>IF($A10="","",IF(COUNTIFS(Måned!$A$5:$A$2000,$A10,Måned!$C$5:$C$2000,MONTH(P$5+3))=0,"",MAX(1,MIN(5,SUMIFS(Måned!$H$5:$H$2000,Måned!$A$5:$A$2000,$A10,Måned!$C$5:$C$2000,MONTH(P$5+3))+SUMPRODUCT((Vinduer!$A$5:$A$300=$A10)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0" s="19">
        <f>IF($A10="","",IF(COUNTIFS(Måned!$A$5:$A$2000,$A10,Måned!$C$5:$C$2000,MONTH(Q$5+3))=0,"",MAX(1,MIN(5,SUMIFS(Måned!$H$5:$H$2000,Måned!$A$5:$A$2000,$A10,Måned!$C$5:$C$2000,MONTH(Q$5+3))+SUMPRODUCT((Vinduer!$A$5:$A$300=$A10)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0" s="19">
        <f>IF($A10="","",IF(COUNTIFS(Måned!$A$5:$A$2000,$A10,Måned!$C$5:$C$2000,MONTH(R$5+3))=0,"",MAX(1,MIN(5,SUMIFS(Måned!$H$5:$H$2000,Måned!$A$5:$A$2000,$A10,Måned!$C$5:$C$2000,MONTH(R$5+3))+SUMPRODUCT((Vinduer!$A$5:$A$300=$A10)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0" s="19">
        <f>IF($A10="","",IF(COUNTIFS(Måned!$A$5:$A$2000,$A10,Måned!$C$5:$C$2000,MONTH(S$5+3))=0,"",MAX(1,MIN(5,SUMIFS(Måned!$H$5:$H$2000,Måned!$A$5:$A$2000,$A10,Måned!$C$5:$C$2000,MONTH(S$5+3))+SUMPRODUCT((Vinduer!$A$5:$A$300=$A10)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0" s="19">
        <f>IF($A10="","",IF(COUNTIFS(Måned!$A$5:$A$2000,$A10,Måned!$C$5:$C$2000,MONTH(T$5+3))=0,"",MAX(1,MIN(5,SUMIFS(Måned!$H$5:$H$2000,Måned!$A$5:$A$2000,$A10,Måned!$C$5:$C$2000,MONTH(T$5+3))+SUMPRODUCT((Vinduer!$A$5:$A$300=$A10)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0" s="19">
        <f>IF($A10="","",IF(COUNTIFS(Måned!$A$5:$A$2000,$A10,Måned!$C$5:$C$2000,MONTH(U$5+3))=0,"",MAX(1,MIN(5,SUMIFS(Måned!$H$5:$H$2000,Måned!$A$5:$A$2000,$A10,Måned!$C$5:$C$2000,MONTH(U$5+3))+SUMPRODUCT((Vinduer!$A$5:$A$300=$A10)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0" s="19">
        <f>IF($A10="","",IF(COUNTIFS(Måned!$A$5:$A$2000,$A10,Måned!$C$5:$C$2000,MONTH(V$5+3))=0,"",MAX(1,MIN(5,SUMIFS(Måned!$H$5:$H$2000,Måned!$A$5:$A$2000,$A10,Måned!$C$5:$C$2000,MONTH(V$5+3))+SUMPRODUCT((Vinduer!$A$5:$A$300=$A10)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0" s="19">
        <f>IF($A10="","",IF(COUNTIFS(Måned!$A$5:$A$2000,$A10,Måned!$C$5:$C$2000,MONTH(W$5+3))=0,"",MAX(1,MIN(5,SUMIFS(Måned!$H$5:$H$2000,Måned!$A$5:$A$2000,$A10,Måned!$C$5:$C$2000,MONTH(W$5+3))+SUMPRODUCT((Vinduer!$A$5:$A$300=$A10)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0" s="19">
        <f>IF($A10="","",IF(COUNTIFS(Måned!$A$5:$A$2000,$A10,Måned!$C$5:$C$2000,MONTH(X$5+3))=0,"",MAX(1,MIN(5,SUMIFS(Måned!$H$5:$H$2000,Måned!$A$5:$A$2000,$A10,Måned!$C$5:$C$2000,MONTH(X$5+3))+SUMPRODUCT((Vinduer!$A$5:$A$300=$A10)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0" s="19">
        <f>IF($A10="","",IF(COUNTIFS(Måned!$A$5:$A$2000,$A10,Måned!$C$5:$C$2000,MONTH(Y$5+3))=0,"",MAX(1,MIN(5,SUMIFS(Måned!$H$5:$H$2000,Måned!$A$5:$A$2000,$A10,Måned!$C$5:$C$2000,MONTH(Y$5+3))+SUMPRODUCT((Vinduer!$A$5:$A$300=$A10)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0" s="19">
        <f>IF($A10="","",IF(COUNTIFS(Måned!$A$5:$A$2000,$A10,Måned!$C$5:$C$2000,MONTH(Z$5+3))=0,"",MAX(1,MIN(5,SUMIFS(Måned!$H$5:$H$2000,Måned!$A$5:$A$2000,$A10,Måned!$C$5:$C$2000,MONTH(Z$5+3))+SUMPRODUCT((Vinduer!$A$5:$A$300=$A10)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0" s="19">
        <f>IF($A10="","",IF(COUNTIFS(Måned!$A$5:$A$2000,$A10,Måned!$C$5:$C$2000,MONTH(AA$5+3))=0,"",MAX(1,MIN(5,SUMIFS(Måned!$H$5:$H$2000,Måned!$A$5:$A$2000,$A10,Måned!$C$5:$C$2000,MONTH(AA$5+3))+SUMPRODUCT((Vinduer!$A$5:$A$300=$A10)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0" s="19">
        <f>IF($A10="","",IF(COUNTIFS(Måned!$A$5:$A$2000,$A10,Måned!$C$5:$C$2000,MONTH(AB$5+3))=0,"",MAX(1,MIN(5,SUMIFS(Måned!$H$5:$H$2000,Måned!$A$5:$A$2000,$A10,Måned!$C$5:$C$2000,MONTH(AB$5+3))+SUMPRODUCT((Vinduer!$A$5:$A$300=$A10)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0" s="19">
        <f>IF($A10="","",IF(COUNTIFS(Måned!$A$5:$A$2000,$A10,Måned!$C$5:$C$2000,MONTH(AC$5+3))=0,"",MAX(1,MIN(5,SUMIFS(Måned!$H$5:$H$2000,Måned!$A$5:$A$2000,$A10,Måned!$C$5:$C$2000,MONTH(AC$5+3))+SUMPRODUCT((Vinduer!$A$5:$A$300=$A10)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0" s="19">
        <f>IF($A10="","",IF(COUNTIFS(Måned!$A$5:$A$2000,$A10,Måned!$C$5:$C$2000,MONTH(AD$5+3))=0,"",MAX(1,MIN(5,SUMIFS(Måned!$H$5:$H$2000,Måned!$A$5:$A$2000,$A10,Måned!$C$5:$C$2000,MONTH(AD$5+3))+SUMPRODUCT((Vinduer!$A$5:$A$300=$A10)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0" s="19">
        <f>IF($A10="","",IF(COUNTIFS(Måned!$A$5:$A$2000,$A10,Måned!$C$5:$C$2000,MONTH(AE$5+3))=0,"",MAX(1,MIN(5,SUMIFS(Måned!$H$5:$H$2000,Måned!$A$5:$A$2000,$A10,Måned!$C$5:$C$2000,MONTH(AE$5+3))+SUMPRODUCT((Vinduer!$A$5:$A$300=$A10)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0" s="19">
        <f>IF($A10="","",IF(COUNTIFS(Måned!$A$5:$A$2000,$A10,Måned!$C$5:$C$2000,MONTH(AF$5+3))=0,"",MAX(1,MIN(5,SUMIFS(Måned!$H$5:$H$2000,Måned!$A$5:$A$2000,$A10,Måned!$C$5:$C$2000,MONTH(AF$5+3))+SUMPRODUCT((Vinduer!$A$5:$A$300=$A10)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0" s="19">
        <f>IF($A10="","",IF(COUNTIFS(Måned!$A$5:$A$2000,$A10,Måned!$C$5:$C$2000,MONTH(AG$5+3))=0,"",MAX(1,MIN(5,SUMIFS(Måned!$H$5:$H$2000,Måned!$A$5:$A$2000,$A10,Måned!$C$5:$C$2000,MONTH(AG$5+3))+SUMPRODUCT((Vinduer!$A$5:$A$300=$A10)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0" s="19">
        <f>IF($A10="","",IF(COUNTIFS(Måned!$A$5:$A$2000,$A10,Måned!$C$5:$C$2000,MONTH(AH$5+3))=0,"",MAX(1,MIN(5,SUMIFS(Måned!$H$5:$H$2000,Måned!$A$5:$A$2000,$A10,Måned!$C$5:$C$2000,MONTH(AH$5+3))+SUMPRODUCT((Vinduer!$A$5:$A$300=$A10)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0" s="19">
        <f>IF($A10="","",IF(COUNTIFS(Måned!$A$5:$A$2000,$A10,Måned!$C$5:$C$2000,MONTH(AI$5+3))=0,"",MAX(1,MIN(5,SUMIFS(Måned!$H$5:$H$2000,Måned!$A$5:$A$2000,$A10,Måned!$C$5:$C$2000,MONTH(AI$5+3))+SUMPRODUCT((Vinduer!$A$5:$A$300=$A10)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0" s="19">
        <f>IF($A10="","",IF(COUNTIFS(Måned!$A$5:$A$2000,$A10,Måned!$C$5:$C$2000,MONTH(AJ$5+3))=0,"",MAX(1,MIN(5,SUMIFS(Måned!$H$5:$H$2000,Måned!$A$5:$A$2000,$A10,Måned!$C$5:$C$2000,MONTH(AJ$5+3))+SUMPRODUCT((Vinduer!$A$5:$A$300=$A10)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0" s="19">
        <f>IF($A10="","",IF(COUNTIFS(Måned!$A$5:$A$2000,$A10,Måned!$C$5:$C$2000,MONTH(AK$5+3))=0,"",MAX(1,MIN(5,SUMIFS(Måned!$H$5:$H$2000,Måned!$A$5:$A$2000,$A10,Måned!$C$5:$C$2000,MONTH(AK$5+3))+SUMPRODUCT((Vinduer!$A$5:$A$300=$A10)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0" s="19">
        <f>IF($A10="","",IF(COUNTIFS(Måned!$A$5:$A$2000,$A10,Måned!$C$5:$C$2000,MONTH(AL$5+3))=0,"",MAX(1,MIN(5,SUMIFS(Måned!$H$5:$H$2000,Måned!$A$5:$A$2000,$A10,Måned!$C$5:$C$2000,MONTH(AL$5+3))+SUMPRODUCT((Vinduer!$A$5:$A$300=$A10)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0" s="19">
        <f>IF($A10="","",IF(COUNTIFS(Måned!$A$5:$A$2000,$A10,Måned!$C$5:$C$2000,MONTH(AM$5+3))=0,"",MAX(1,MIN(5,SUMIFS(Måned!$H$5:$H$2000,Måned!$A$5:$A$2000,$A10,Måned!$C$5:$C$2000,MONTH(AM$5+3))+SUMPRODUCT((Vinduer!$A$5:$A$300=$A10)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0" s="19">
        <f>IF($A10="","",IF(COUNTIFS(Måned!$A$5:$A$2000,$A10,Måned!$C$5:$C$2000,MONTH(AN$5+3))=0,"",MAX(1,MIN(5,SUMIFS(Måned!$H$5:$H$2000,Måned!$A$5:$A$2000,$A10,Måned!$C$5:$C$2000,MONTH(AN$5+3))+SUMPRODUCT((Vinduer!$A$5:$A$300=$A10)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0" s="19">
        <f>IF($A10="","",IF(COUNTIFS(Måned!$A$5:$A$2000,$A10,Måned!$C$5:$C$2000,MONTH(AO$5+3))=0,"",MAX(1,MIN(5,SUMIFS(Måned!$H$5:$H$2000,Måned!$A$5:$A$2000,$A10,Måned!$C$5:$C$2000,MONTH(AO$5+3))+SUMPRODUCT((Vinduer!$A$5:$A$300=$A10)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0" s="19">
        <f>IF($A10="","",IF(COUNTIFS(Måned!$A$5:$A$2000,$A10,Måned!$C$5:$C$2000,MONTH(AP$5+3))=0,"",MAX(1,MIN(5,SUMIFS(Måned!$H$5:$H$2000,Måned!$A$5:$A$2000,$A10,Måned!$C$5:$C$2000,MONTH(AP$5+3))+SUMPRODUCT((Vinduer!$A$5:$A$300=$A10)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0" s="19">
        <f>IF($A10="","",IF(COUNTIFS(Måned!$A$5:$A$2000,$A10,Måned!$C$5:$C$2000,MONTH(AQ$5+3))=0,"",MAX(1,MIN(5,SUMIFS(Måned!$H$5:$H$2000,Måned!$A$5:$A$2000,$A10,Måned!$C$5:$C$2000,MONTH(AQ$5+3))+SUMPRODUCT((Vinduer!$A$5:$A$300=$A10)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0" s="19">
        <f>IF($A10="","",IF(COUNTIFS(Måned!$A$5:$A$2000,$A10,Måned!$C$5:$C$2000,MONTH(AR$5+3))=0,"",MAX(1,MIN(5,SUMIFS(Måned!$H$5:$H$2000,Måned!$A$5:$A$2000,$A10,Måned!$C$5:$C$2000,MONTH(AR$5+3))+SUMPRODUCT((Vinduer!$A$5:$A$300=$A10)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0" s="19">
        <f>IF($A10="","",IF(COUNTIFS(Måned!$A$5:$A$2000,$A10,Måned!$C$5:$C$2000,MONTH(AS$5+3))=0,"",MAX(1,MIN(5,SUMIFS(Måned!$H$5:$H$2000,Måned!$A$5:$A$2000,$A10,Måned!$C$5:$C$2000,MONTH(AS$5+3))+SUMPRODUCT((Vinduer!$A$5:$A$300=$A10)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0" s="19">
        <f>IF($A10="","",IF(COUNTIFS(Måned!$A$5:$A$2000,$A10,Måned!$C$5:$C$2000,MONTH(AT$5+3))=0,"",MAX(1,MIN(5,SUMIFS(Måned!$H$5:$H$2000,Måned!$A$5:$A$2000,$A10,Måned!$C$5:$C$2000,MONTH(AT$5+3))+SUMPRODUCT((Vinduer!$A$5:$A$300=$A10)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0" s="19">
        <f>IF($A10="","",IF(COUNTIFS(Måned!$A$5:$A$2000,$A10,Måned!$C$5:$C$2000,MONTH(AU$5+3))=0,"",MAX(1,MIN(5,SUMIFS(Måned!$H$5:$H$2000,Måned!$A$5:$A$2000,$A10,Måned!$C$5:$C$2000,MONTH(AU$5+3))+SUMPRODUCT((Vinduer!$A$5:$A$300=$A10)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0" s="19">
        <f>IF($A10="","",IF(COUNTIFS(Måned!$A$5:$A$2000,$A10,Måned!$C$5:$C$2000,MONTH(AV$5+3))=0,"",MAX(1,MIN(5,SUMIFS(Måned!$H$5:$H$2000,Måned!$A$5:$A$2000,$A10,Måned!$C$5:$C$2000,MONTH(AV$5+3))+SUMPRODUCT((Vinduer!$A$5:$A$300=$A10)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0" s="19">
        <f>IF($A10="","",IF(COUNTIFS(Måned!$A$5:$A$2000,$A10,Måned!$C$5:$C$2000,MONTH(AW$5+3))=0,"",MAX(1,MIN(5,SUMIFS(Måned!$H$5:$H$2000,Måned!$A$5:$A$2000,$A10,Måned!$C$5:$C$2000,MONTH(AW$5+3))+SUMPRODUCT((Vinduer!$A$5:$A$300=$A10)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0" s="19">
        <f>IF($A10="","",IF(COUNTIFS(Måned!$A$5:$A$2000,$A10,Måned!$C$5:$C$2000,MONTH(AX$5+3))=0,"",MAX(1,MIN(5,SUMIFS(Måned!$H$5:$H$2000,Måned!$A$5:$A$2000,$A10,Måned!$C$5:$C$2000,MONTH(AX$5+3))+SUMPRODUCT((Vinduer!$A$5:$A$300=$A10)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0" s="19">
        <f>IF($A10="","",IF(COUNTIFS(Måned!$A$5:$A$2000,$A10,Måned!$C$5:$C$2000,MONTH(AY$5+3))=0,"",MAX(1,MIN(5,SUMIFS(Måned!$H$5:$H$2000,Måned!$A$5:$A$2000,$A10,Måned!$C$5:$C$2000,MONTH(AY$5+3))+SUMPRODUCT((Vinduer!$A$5:$A$300=$A10)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0" s="19">
        <f>IF($A10="","",IF(COUNTIFS(Måned!$A$5:$A$2000,$A10,Måned!$C$5:$C$2000,MONTH(AZ$5+3))=0,"",MAX(1,MIN(5,SUMIFS(Måned!$H$5:$H$2000,Måned!$A$5:$A$2000,$A10,Måned!$C$5:$C$2000,MONTH(AZ$5+3))+SUMPRODUCT((Vinduer!$A$5:$A$300=$A10)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0" s="19">
        <f>IF($A10="","",IF(COUNTIFS(Måned!$A$5:$A$2000,$A10,Måned!$C$5:$C$2000,MONTH(BA$5+3))=0,"",MAX(1,MIN(5,SUMIFS(Måned!$H$5:$H$2000,Måned!$A$5:$A$2000,$A10,Måned!$C$5:$C$2000,MONTH(BA$5+3))+SUMPRODUCT((Vinduer!$A$5:$A$300=$A10)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0" s="19">
        <f>IF($A10="","",IF(COUNTIFS(Måned!$A$5:$A$2000,$A10,Måned!$C$5:$C$2000,MONTH(BB$5+3))=0,"",MAX(1,MIN(5,SUMIFS(Måned!$H$5:$H$2000,Måned!$A$5:$A$2000,$A10,Måned!$C$5:$C$2000,MONTH(BB$5+3))+SUMPRODUCT((Vinduer!$A$5:$A$300=$A10)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0" s="19">
        <f>IF($A10="","",IF(COUNTIFS(Måned!$A$5:$A$2000,$A10,Måned!$C$5:$C$2000,MONTH(BC$5+3))=0,"",MAX(1,MIN(5,SUMIFS(Måned!$H$5:$H$2000,Måned!$A$5:$A$2000,$A10,Måned!$C$5:$C$2000,MONTH(BC$5+3))+SUMPRODUCT((Vinduer!$A$5:$A$300=$A10)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0" s="19">
        <f>IF($A10="","",IF(COUNTIFS(Måned!$A$5:$A$2000,$A10,Måned!$C$5:$C$2000,MONTH(BD$5+3))=0,"",MAX(1,MIN(5,SUMIFS(Måned!$H$5:$H$2000,Måned!$A$5:$A$2000,$A10,Måned!$C$5:$C$2000,MONTH(BD$5+3))+SUMPRODUCT((Vinduer!$A$5:$A$300=$A10)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0" s="19">
        <f>IF($A10="","",IF(COUNTIFS(Måned!$A$5:$A$2000,$A10,Måned!$C$5:$C$2000,MONTH(BE$5+3))=0,"",MAX(1,MIN(5,SUMIFS(Måned!$H$5:$H$2000,Måned!$A$5:$A$2000,$A10,Måned!$C$5:$C$2000,MONTH(BE$5+3))+SUMPRODUCT((Vinduer!$A$5:$A$300=$A10)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1">
      <c r="A11" s="5">
        <f>IF(Destinasjoner!A7="","",Destinasjoner!A7)</f>
        <v/>
      </c>
      <c r="B11" s="5">
        <f>IF(A11="","",Destinasjoner!E7)</f>
        <v/>
      </c>
      <c r="C11" s="5">
        <f>IF(A11="","",Destinasjoner!B7)</f>
        <v/>
      </c>
      <c r="D11" s="17">
        <f>IFERROR(SUMIFS(F11:BE11,$F$7:$BE$7,"x")/COUNTIFS($F$7:$BE$7,"x",F11:BE11,"&gt;0"),"")</f>
        <v/>
      </c>
      <c r="E11" s="18">
        <f>IF(D11="","",_xlfn.MINIFS(F11:BE11,$F$7:$BE$7,"x",F11:BE11,"&gt;0"))</f>
        <v/>
      </c>
      <c r="F11" s="19">
        <f>IF($A11="","",IF(COUNTIFS(Måned!$A$5:$A$2000,$A11,Måned!$C$5:$C$2000,MONTH(F$5+3))=0,"",MAX(1,MIN(5,SUMIFS(Måned!$H$5:$H$2000,Måned!$A$5:$A$2000,$A11,Måned!$C$5:$C$2000,MONTH(F$5+3))+SUMPRODUCT((Vinduer!$A$5:$A$300=$A11)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1" s="19">
        <f>IF($A11="","",IF(COUNTIFS(Måned!$A$5:$A$2000,$A11,Måned!$C$5:$C$2000,MONTH(G$5+3))=0,"",MAX(1,MIN(5,SUMIFS(Måned!$H$5:$H$2000,Måned!$A$5:$A$2000,$A11,Måned!$C$5:$C$2000,MONTH(G$5+3))+SUMPRODUCT((Vinduer!$A$5:$A$300=$A11)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1" s="19">
        <f>IF($A11="","",IF(COUNTIFS(Måned!$A$5:$A$2000,$A11,Måned!$C$5:$C$2000,MONTH(H$5+3))=0,"",MAX(1,MIN(5,SUMIFS(Måned!$H$5:$H$2000,Måned!$A$5:$A$2000,$A11,Måned!$C$5:$C$2000,MONTH(H$5+3))+SUMPRODUCT((Vinduer!$A$5:$A$300=$A11)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1" s="19">
        <f>IF($A11="","",IF(COUNTIFS(Måned!$A$5:$A$2000,$A11,Måned!$C$5:$C$2000,MONTH(I$5+3))=0,"",MAX(1,MIN(5,SUMIFS(Måned!$H$5:$H$2000,Måned!$A$5:$A$2000,$A11,Måned!$C$5:$C$2000,MONTH(I$5+3))+SUMPRODUCT((Vinduer!$A$5:$A$300=$A11)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1" s="19">
        <f>IF($A11="","",IF(COUNTIFS(Måned!$A$5:$A$2000,$A11,Måned!$C$5:$C$2000,MONTH(J$5+3))=0,"",MAX(1,MIN(5,SUMIFS(Måned!$H$5:$H$2000,Måned!$A$5:$A$2000,$A11,Måned!$C$5:$C$2000,MONTH(J$5+3))+SUMPRODUCT((Vinduer!$A$5:$A$300=$A11)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1" s="19">
        <f>IF($A11="","",IF(COUNTIFS(Måned!$A$5:$A$2000,$A11,Måned!$C$5:$C$2000,MONTH(K$5+3))=0,"",MAX(1,MIN(5,SUMIFS(Måned!$H$5:$H$2000,Måned!$A$5:$A$2000,$A11,Måned!$C$5:$C$2000,MONTH(K$5+3))+SUMPRODUCT((Vinduer!$A$5:$A$300=$A11)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1" s="19">
        <f>IF($A11="","",IF(COUNTIFS(Måned!$A$5:$A$2000,$A11,Måned!$C$5:$C$2000,MONTH(L$5+3))=0,"",MAX(1,MIN(5,SUMIFS(Måned!$H$5:$H$2000,Måned!$A$5:$A$2000,$A11,Måned!$C$5:$C$2000,MONTH(L$5+3))+SUMPRODUCT((Vinduer!$A$5:$A$300=$A11)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1" s="19">
        <f>IF($A11="","",IF(COUNTIFS(Måned!$A$5:$A$2000,$A11,Måned!$C$5:$C$2000,MONTH(M$5+3))=0,"",MAX(1,MIN(5,SUMIFS(Måned!$H$5:$H$2000,Måned!$A$5:$A$2000,$A11,Måned!$C$5:$C$2000,MONTH(M$5+3))+SUMPRODUCT((Vinduer!$A$5:$A$300=$A11)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1" s="19">
        <f>IF($A11="","",IF(COUNTIFS(Måned!$A$5:$A$2000,$A11,Måned!$C$5:$C$2000,MONTH(N$5+3))=0,"",MAX(1,MIN(5,SUMIFS(Måned!$H$5:$H$2000,Måned!$A$5:$A$2000,$A11,Måned!$C$5:$C$2000,MONTH(N$5+3))+SUMPRODUCT((Vinduer!$A$5:$A$300=$A11)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1" s="19">
        <f>IF($A11="","",IF(COUNTIFS(Måned!$A$5:$A$2000,$A11,Måned!$C$5:$C$2000,MONTH(O$5+3))=0,"",MAX(1,MIN(5,SUMIFS(Måned!$H$5:$H$2000,Måned!$A$5:$A$2000,$A11,Måned!$C$5:$C$2000,MONTH(O$5+3))+SUMPRODUCT((Vinduer!$A$5:$A$300=$A11)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1" s="19">
        <f>IF($A11="","",IF(COUNTIFS(Måned!$A$5:$A$2000,$A11,Måned!$C$5:$C$2000,MONTH(P$5+3))=0,"",MAX(1,MIN(5,SUMIFS(Måned!$H$5:$H$2000,Måned!$A$5:$A$2000,$A11,Måned!$C$5:$C$2000,MONTH(P$5+3))+SUMPRODUCT((Vinduer!$A$5:$A$300=$A11)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1" s="19">
        <f>IF($A11="","",IF(COUNTIFS(Måned!$A$5:$A$2000,$A11,Måned!$C$5:$C$2000,MONTH(Q$5+3))=0,"",MAX(1,MIN(5,SUMIFS(Måned!$H$5:$H$2000,Måned!$A$5:$A$2000,$A11,Måned!$C$5:$C$2000,MONTH(Q$5+3))+SUMPRODUCT((Vinduer!$A$5:$A$300=$A11)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1" s="19">
        <f>IF($A11="","",IF(COUNTIFS(Måned!$A$5:$A$2000,$A11,Måned!$C$5:$C$2000,MONTH(R$5+3))=0,"",MAX(1,MIN(5,SUMIFS(Måned!$H$5:$H$2000,Måned!$A$5:$A$2000,$A11,Måned!$C$5:$C$2000,MONTH(R$5+3))+SUMPRODUCT((Vinduer!$A$5:$A$300=$A11)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1" s="19">
        <f>IF($A11="","",IF(COUNTIFS(Måned!$A$5:$A$2000,$A11,Måned!$C$5:$C$2000,MONTH(S$5+3))=0,"",MAX(1,MIN(5,SUMIFS(Måned!$H$5:$H$2000,Måned!$A$5:$A$2000,$A11,Måned!$C$5:$C$2000,MONTH(S$5+3))+SUMPRODUCT((Vinduer!$A$5:$A$300=$A11)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1" s="19">
        <f>IF($A11="","",IF(COUNTIFS(Måned!$A$5:$A$2000,$A11,Måned!$C$5:$C$2000,MONTH(T$5+3))=0,"",MAX(1,MIN(5,SUMIFS(Måned!$H$5:$H$2000,Måned!$A$5:$A$2000,$A11,Måned!$C$5:$C$2000,MONTH(T$5+3))+SUMPRODUCT((Vinduer!$A$5:$A$300=$A11)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1" s="19">
        <f>IF($A11="","",IF(COUNTIFS(Måned!$A$5:$A$2000,$A11,Måned!$C$5:$C$2000,MONTH(U$5+3))=0,"",MAX(1,MIN(5,SUMIFS(Måned!$H$5:$H$2000,Måned!$A$5:$A$2000,$A11,Måned!$C$5:$C$2000,MONTH(U$5+3))+SUMPRODUCT((Vinduer!$A$5:$A$300=$A11)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1" s="19">
        <f>IF($A11="","",IF(COUNTIFS(Måned!$A$5:$A$2000,$A11,Måned!$C$5:$C$2000,MONTH(V$5+3))=0,"",MAX(1,MIN(5,SUMIFS(Måned!$H$5:$H$2000,Måned!$A$5:$A$2000,$A11,Måned!$C$5:$C$2000,MONTH(V$5+3))+SUMPRODUCT((Vinduer!$A$5:$A$300=$A11)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1" s="19">
        <f>IF($A11="","",IF(COUNTIFS(Måned!$A$5:$A$2000,$A11,Måned!$C$5:$C$2000,MONTH(W$5+3))=0,"",MAX(1,MIN(5,SUMIFS(Måned!$H$5:$H$2000,Måned!$A$5:$A$2000,$A11,Måned!$C$5:$C$2000,MONTH(W$5+3))+SUMPRODUCT((Vinduer!$A$5:$A$300=$A11)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1" s="19">
        <f>IF($A11="","",IF(COUNTIFS(Måned!$A$5:$A$2000,$A11,Måned!$C$5:$C$2000,MONTH(X$5+3))=0,"",MAX(1,MIN(5,SUMIFS(Måned!$H$5:$H$2000,Måned!$A$5:$A$2000,$A11,Måned!$C$5:$C$2000,MONTH(X$5+3))+SUMPRODUCT((Vinduer!$A$5:$A$300=$A11)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1" s="19">
        <f>IF($A11="","",IF(COUNTIFS(Måned!$A$5:$A$2000,$A11,Måned!$C$5:$C$2000,MONTH(Y$5+3))=0,"",MAX(1,MIN(5,SUMIFS(Måned!$H$5:$H$2000,Måned!$A$5:$A$2000,$A11,Måned!$C$5:$C$2000,MONTH(Y$5+3))+SUMPRODUCT((Vinduer!$A$5:$A$300=$A11)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1" s="19">
        <f>IF($A11="","",IF(COUNTIFS(Måned!$A$5:$A$2000,$A11,Måned!$C$5:$C$2000,MONTH(Z$5+3))=0,"",MAX(1,MIN(5,SUMIFS(Måned!$H$5:$H$2000,Måned!$A$5:$A$2000,$A11,Måned!$C$5:$C$2000,MONTH(Z$5+3))+SUMPRODUCT((Vinduer!$A$5:$A$300=$A11)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1" s="19">
        <f>IF($A11="","",IF(COUNTIFS(Måned!$A$5:$A$2000,$A11,Måned!$C$5:$C$2000,MONTH(AA$5+3))=0,"",MAX(1,MIN(5,SUMIFS(Måned!$H$5:$H$2000,Måned!$A$5:$A$2000,$A11,Måned!$C$5:$C$2000,MONTH(AA$5+3))+SUMPRODUCT((Vinduer!$A$5:$A$300=$A11)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1" s="19">
        <f>IF($A11="","",IF(COUNTIFS(Måned!$A$5:$A$2000,$A11,Måned!$C$5:$C$2000,MONTH(AB$5+3))=0,"",MAX(1,MIN(5,SUMIFS(Måned!$H$5:$H$2000,Måned!$A$5:$A$2000,$A11,Måned!$C$5:$C$2000,MONTH(AB$5+3))+SUMPRODUCT((Vinduer!$A$5:$A$300=$A11)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1" s="19">
        <f>IF($A11="","",IF(COUNTIFS(Måned!$A$5:$A$2000,$A11,Måned!$C$5:$C$2000,MONTH(AC$5+3))=0,"",MAX(1,MIN(5,SUMIFS(Måned!$H$5:$H$2000,Måned!$A$5:$A$2000,$A11,Måned!$C$5:$C$2000,MONTH(AC$5+3))+SUMPRODUCT((Vinduer!$A$5:$A$300=$A11)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1" s="19">
        <f>IF($A11="","",IF(COUNTIFS(Måned!$A$5:$A$2000,$A11,Måned!$C$5:$C$2000,MONTH(AD$5+3))=0,"",MAX(1,MIN(5,SUMIFS(Måned!$H$5:$H$2000,Måned!$A$5:$A$2000,$A11,Måned!$C$5:$C$2000,MONTH(AD$5+3))+SUMPRODUCT((Vinduer!$A$5:$A$300=$A11)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1" s="19">
        <f>IF($A11="","",IF(COUNTIFS(Måned!$A$5:$A$2000,$A11,Måned!$C$5:$C$2000,MONTH(AE$5+3))=0,"",MAX(1,MIN(5,SUMIFS(Måned!$H$5:$H$2000,Måned!$A$5:$A$2000,$A11,Måned!$C$5:$C$2000,MONTH(AE$5+3))+SUMPRODUCT((Vinduer!$A$5:$A$300=$A11)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1" s="19">
        <f>IF($A11="","",IF(COUNTIFS(Måned!$A$5:$A$2000,$A11,Måned!$C$5:$C$2000,MONTH(AF$5+3))=0,"",MAX(1,MIN(5,SUMIFS(Måned!$H$5:$H$2000,Måned!$A$5:$A$2000,$A11,Måned!$C$5:$C$2000,MONTH(AF$5+3))+SUMPRODUCT((Vinduer!$A$5:$A$300=$A11)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1" s="19">
        <f>IF($A11="","",IF(COUNTIFS(Måned!$A$5:$A$2000,$A11,Måned!$C$5:$C$2000,MONTH(AG$5+3))=0,"",MAX(1,MIN(5,SUMIFS(Måned!$H$5:$H$2000,Måned!$A$5:$A$2000,$A11,Måned!$C$5:$C$2000,MONTH(AG$5+3))+SUMPRODUCT((Vinduer!$A$5:$A$300=$A11)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1" s="19">
        <f>IF($A11="","",IF(COUNTIFS(Måned!$A$5:$A$2000,$A11,Måned!$C$5:$C$2000,MONTH(AH$5+3))=0,"",MAX(1,MIN(5,SUMIFS(Måned!$H$5:$H$2000,Måned!$A$5:$A$2000,$A11,Måned!$C$5:$C$2000,MONTH(AH$5+3))+SUMPRODUCT((Vinduer!$A$5:$A$300=$A11)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1" s="19">
        <f>IF($A11="","",IF(COUNTIFS(Måned!$A$5:$A$2000,$A11,Måned!$C$5:$C$2000,MONTH(AI$5+3))=0,"",MAX(1,MIN(5,SUMIFS(Måned!$H$5:$H$2000,Måned!$A$5:$A$2000,$A11,Måned!$C$5:$C$2000,MONTH(AI$5+3))+SUMPRODUCT((Vinduer!$A$5:$A$300=$A11)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1" s="19">
        <f>IF($A11="","",IF(COUNTIFS(Måned!$A$5:$A$2000,$A11,Måned!$C$5:$C$2000,MONTH(AJ$5+3))=0,"",MAX(1,MIN(5,SUMIFS(Måned!$H$5:$H$2000,Måned!$A$5:$A$2000,$A11,Måned!$C$5:$C$2000,MONTH(AJ$5+3))+SUMPRODUCT((Vinduer!$A$5:$A$300=$A11)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1" s="19">
        <f>IF($A11="","",IF(COUNTIFS(Måned!$A$5:$A$2000,$A11,Måned!$C$5:$C$2000,MONTH(AK$5+3))=0,"",MAX(1,MIN(5,SUMIFS(Måned!$H$5:$H$2000,Måned!$A$5:$A$2000,$A11,Måned!$C$5:$C$2000,MONTH(AK$5+3))+SUMPRODUCT((Vinduer!$A$5:$A$300=$A11)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1" s="19">
        <f>IF($A11="","",IF(COUNTIFS(Måned!$A$5:$A$2000,$A11,Måned!$C$5:$C$2000,MONTH(AL$5+3))=0,"",MAX(1,MIN(5,SUMIFS(Måned!$H$5:$H$2000,Måned!$A$5:$A$2000,$A11,Måned!$C$5:$C$2000,MONTH(AL$5+3))+SUMPRODUCT((Vinduer!$A$5:$A$300=$A11)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1" s="19">
        <f>IF($A11="","",IF(COUNTIFS(Måned!$A$5:$A$2000,$A11,Måned!$C$5:$C$2000,MONTH(AM$5+3))=0,"",MAX(1,MIN(5,SUMIFS(Måned!$H$5:$H$2000,Måned!$A$5:$A$2000,$A11,Måned!$C$5:$C$2000,MONTH(AM$5+3))+SUMPRODUCT((Vinduer!$A$5:$A$300=$A11)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1" s="19">
        <f>IF($A11="","",IF(COUNTIFS(Måned!$A$5:$A$2000,$A11,Måned!$C$5:$C$2000,MONTH(AN$5+3))=0,"",MAX(1,MIN(5,SUMIFS(Måned!$H$5:$H$2000,Måned!$A$5:$A$2000,$A11,Måned!$C$5:$C$2000,MONTH(AN$5+3))+SUMPRODUCT((Vinduer!$A$5:$A$300=$A11)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1" s="19">
        <f>IF($A11="","",IF(COUNTIFS(Måned!$A$5:$A$2000,$A11,Måned!$C$5:$C$2000,MONTH(AO$5+3))=0,"",MAX(1,MIN(5,SUMIFS(Måned!$H$5:$H$2000,Måned!$A$5:$A$2000,$A11,Måned!$C$5:$C$2000,MONTH(AO$5+3))+SUMPRODUCT((Vinduer!$A$5:$A$300=$A11)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1" s="19">
        <f>IF($A11="","",IF(COUNTIFS(Måned!$A$5:$A$2000,$A11,Måned!$C$5:$C$2000,MONTH(AP$5+3))=0,"",MAX(1,MIN(5,SUMIFS(Måned!$H$5:$H$2000,Måned!$A$5:$A$2000,$A11,Måned!$C$5:$C$2000,MONTH(AP$5+3))+SUMPRODUCT((Vinduer!$A$5:$A$300=$A11)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1" s="19">
        <f>IF($A11="","",IF(COUNTIFS(Måned!$A$5:$A$2000,$A11,Måned!$C$5:$C$2000,MONTH(AQ$5+3))=0,"",MAX(1,MIN(5,SUMIFS(Måned!$H$5:$H$2000,Måned!$A$5:$A$2000,$A11,Måned!$C$5:$C$2000,MONTH(AQ$5+3))+SUMPRODUCT((Vinduer!$A$5:$A$300=$A11)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1" s="19">
        <f>IF($A11="","",IF(COUNTIFS(Måned!$A$5:$A$2000,$A11,Måned!$C$5:$C$2000,MONTH(AR$5+3))=0,"",MAX(1,MIN(5,SUMIFS(Måned!$H$5:$H$2000,Måned!$A$5:$A$2000,$A11,Måned!$C$5:$C$2000,MONTH(AR$5+3))+SUMPRODUCT((Vinduer!$A$5:$A$300=$A11)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1" s="19">
        <f>IF($A11="","",IF(COUNTIFS(Måned!$A$5:$A$2000,$A11,Måned!$C$5:$C$2000,MONTH(AS$5+3))=0,"",MAX(1,MIN(5,SUMIFS(Måned!$H$5:$H$2000,Måned!$A$5:$A$2000,$A11,Måned!$C$5:$C$2000,MONTH(AS$5+3))+SUMPRODUCT((Vinduer!$A$5:$A$300=$A11)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1" s="19">
        <f>IF($A11="","",IF(COUNTIFS(Måned!$A$5:$A$2000,$A11,Måned!$C$5:$C$2000,MONTH(AT$5+3))=0,"",MAX(1,MIN(5,SUMIFS(Måned!$H$5:$H$2000,Måned!$A$5:$A$2000,$A11,Måned!$C$5:$C$2000,MONTH(AT$5+3))+SUMPRODUCT((Vinduer!$A$5:$A$300=$A11)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1" s="19">
        <f>IF($A11="","",IF(COUNTIFS(Måned!$A$5:$A$2000,$A11,Måned!$C$5:$C$2000,MONTH(AU$5+3))=0,"",MAX(1,MIN(5,SUMIFS(Måned!$H$5:$H$2000,Måned!$A$5:$A$2000,$A11,Måned!$C$5:$C$2000,MONTH(AU$5+3))+SUMPRODUCT((Vinduer!$A$5:$A$300=$A11)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1" s="19">
        <f>IF($A11="","",IF(COUNTIFS(Måned!$A$5:$A$2000,$A11,Måned!$C$5:$C$2000,MONTH(AV$5+3))=0,"",MAX(1,MIN(5,SUMIFS(Måned!$H$5:$H$2000,Måned!$A$5:$A$2000,$A11,Måned!$C$5:$C$2000,MONTH(AV$5+3))+SUMPRODUCT((Vinduer!$A$5:$A$300=$A11)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1" s="19">
        <f>IF($A11="","",IF(COUNTIFS(Måned!$A$5:$A$2000,$A11,Måned!$C$5:$C$2000,MONTH(AW$5+3))=0,"",MAX(1,MIN(5,SUMIFS(Måned!$H$5:$H$2000,Måned!$A$5:$A$2000,$A11,Måned!$C$5:$C$2000,MONTH(AW$5+3))+SUMPRODUCT((Vinduer!$A$5:$A$300=$A11)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1" s="19">
        <f>IF($A11="","",IF(COUNTIFS(Måned!$A$5:$A$2000,$A11,Måned!$C$5:$C$2000,MONTH(AX$5+3))=0,"",MAX(1,MIN(5,SUMIFS(Måned!$H$5:$H$2000,Måned!$A$5:$A$2000,$A11,Måned!$C$5:$C$2000,MONTH(AX$5+3))+SUMPRODUCT((Vinduer!$A$5:$A$300=$A11)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1" s="19">
        <f>IF($A11="","",IF(COUNTIFS(Måned!$A$5:$A$2000,$A11,Måned!$C$5:$C$2000,MONTH(AY$5+3))=0,"",MAX(1,MIN(5,SUMIFS(Måned!$H$5:$H$2000,Måned!$A$5:$A$2000,$A11,Måned!$C$5:$C$2000,MONTH(AY$5+3))+SUMPRODUCT((Vinduer!$A$5:$A$300=$A11)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1" s="19">
        <f>IF($A11="","",IF(COUNTIFS(Måned!$A$5:$A$2000,$A11,Måned!$C$5:$C$2000,MONTH(AZ$5+3))=0,"",MAX(1,MIN(5,SUMIFS(Måned!$H$5:$H$2000,Måned!$A$5:$A$2000,$A11,Måned!$C$5:$C$2000,MONTH(AZ$5+3))+SUMPRODUCT((Vinduer!$A$5:$A$300=$A11)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1" s="19">
        <f>IF($A11="","",IF(COUNTIFS(Måned!$A$5:$A$2000,$A11,Måned!$C$5:$C$2000,MONTH(BA$5+3))=0,"",MAX(1,MIN(5,SUMIFS(Måned!$H$5:$H$2000,Måned!$A$5:$A$2000,$A11,Måned!$C$5:$C$2000,MONTH(BA$5+3))+SUMPRODUCT((Vinduer!$A$5:$A$300=$A11)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1" s="19">
        <f>IF($A11="","",IF(COUNTIFS(Måned!$A$5:$A$2000,$A11,Måned!$C$5:$C$2000,MONTH(BB$5+3))=0,"",MAX(1,MIN(5,SUMIFS(Måned!$H$5:$H$2000,Måned!$A$5:$A$2000,$A11,Måned!$C$5:$C$2000,MONTH(BB$5+3))+SUMPRODUCT((Vinduer!$A$5:$A$300=$A11)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1" s="19">
        <f>IF($A11="","",IF(COUNTIFS(Måned!$A$5:$A$2000,$A11,Måned!$C$5:$C$2000,MONTH(BC$5+3))=0,"",MAX(1,MIN(5,SUMIFS(Måned!$H$5:$H$2000,Måned!$A$5:$A$2000,$A11,Måned!$C$5:$C$2000,MONTH(BC$5+3))+SUMPRODUCT((Vinduer!$A$5:$A$300=$A11)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1" s="19">
        <f>IF($A11="","",IF(COUNTIFS(Måned!$A$5:$A$2000,$A11,Måned!$C$5:$C$2000,MONTH(BD$5+3))=0,"",MAX(1,MIN(5,SUMIFS(Måned!$H$5:$H$2000,Måned!$A$5:$A$2000,$A11,Måned!$C$5:$C$2000,MONTH(BD$5+3))+SUMPRODUCT((Vinduer!$A$5:$A$300=$A11)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1" s="19">
        <f>IF($A11="","",IF(COUNTIFS(Måned!$A$5:$A$2000,$A11,Måned!$C$5:$C$2000,MONTH(BE$5+3))=0,"",MAX(1,MIN(5,SUMIFS(Måned!$H$5:$H$2000,Måned!$A$5:$A$2000,$A11,Måned!$C$5:$C$2000,MONTH(BE$5+3))+SUMPRODUCT((Vinduer!$A$5:$A$300=$A11)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2">
      <c r="A12" s="5">
        <f>IF(Destinasjoner!A8="","",Destinasjoner!A8)</f>
        <v/>
      </c>
      <c r="B12" s="5">
        <f>IF(A12="","",Destinasjoner!E8)</f>
        <v/>
      </c>
      <c r="C12" s="5">
        <f>IF(A12="","",Destinasjoner!B8)</f>
        <v/>
      </c>
      <c r="D12" s="17">
        <f>IFERROR(SUMIFS(F12:BE12,$F$7:$BE$7,"x")/COUNTIFS($F$7:$BE$7,"x",F12:BE12,"&gt;0"),"")</f>
        <v/>
      </c>
      <c r="E12" s="18">
        <f>IF(D12="","",_xlfn.MINIFS(F12:BE12,$F$7:$BE$7,"x",F12:BE12,"&gt;0"))</f>
        <v/>
      </c>
      <c r="F12" s="19">
        <f>IF($A12="","",IF(COUNTIFS(Måned!$A$5:$A$2000,$A12,Måned!$C$5:$C$2000,MONTH(F$5+3))=0,"",MAX(1,MIN(5,SUMIFS(Måned!$H$5:$H$2000,Måned!$A$5:$A$2000,$A12,Måned!$C$5:$C$2000,MONTH(F$5+3))+SUMPRODUCT((Vinduer!$A$5:$A$300=$A12)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2" s="19">
        <f>IF($A12="","",IF(COUNTIFS(Måned!$A$5:$A$2000,$A12,Måned!$C$5:$C$2000,MONTH(G$5+3))=0,"",MAX(1,MIN(5,SUMIFS(Måned!$H$5:$H$2000,Måned!$A$5:$A$2000,$A12,Måned!$C$5:$C$2000,MONTH(G$5+3))+SUMPRODUCT((Vinduer!$A$5:$A$300=$A12)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2" s="19">
        <f>IF($A12="","",IF(COUNTIFS(Måned!$A$5:$A$2000,$A12,Måned!$C$5:$C$2000,MONTH(H$5+3))=0,"",MAX(1,MIN(5,SUMIFS(Måned!$H$5:$H$2000,Måned!$A$5:$A$2000,$A12,Måned!$C$5:$C$2000,MONTH(H$5+3))+SUMPRODUCT((Vinduer!$A$5:$A$300=$A12)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2" s="19">
        <f>IF($A12="","",IF(COUNTIFS(Måned!$A$5:$A$2000,$A12,Måned!$C$5:$C$2000,MONTH(I$5+3))=0,"",MAX(1,MIN(5,SUMIFS(Måned!$H$5:$H$2000,Måned!$A$5:$A$2000,$A12,Måned!$C$5:$C$2000,MONTH(I$5+3))+SUMPRODUCT((Vinduer!$A$5:$A$300=$A12)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2" s="19">
        <f>IF($A12="","",IF(COUNTIFS(Måned!$A$5:$A$2000,$A12,Måned!$C$5:$C$2000,MONTH(J$5+3))=0,"",MAX(1,MIN(5,SUMIFS(Måned!$H$5:$H$2000,Måned!$A$5:$A$2000,$A12,Måned!$C$5:$C$2000,MONTH(J$5+3))+SUMPRODUCT((Vinduer!$A$5:$A$300=$A12)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2" s="19">
        <f>IF($A12="","",IF(COUNTIFS(Måned!$A$5:$A$2000,$A12,Måned!$C$5:$C$2000,MONTH(K$5+3))=0,"",MAX(1,MIN(5,SUMIFS(Måned!$H$5:$H$2000,Måned!$A$5:$A$2000,$A12,Måned!$C$5:$C$2000,MONTH(K$5+3))+SUMPRODUCT((Vinduer!$A$5:$A$300=$A12)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2" s="19">
        <f>IF($A12="","",IF(COUNTIFS(Måned!$A$5:$A$2000,$A12,Måned!$C$5:$C$2000,MONTH(L$5+3))=0,"",MAX(1,MIN(5,SUMIFS(Måned!$H$5:$H$2000,Måned!$A$5:$A$2000,$A12,Måned!$C$5:$C$2000,MONTH(L$5+3))+SUMPRODUCT((Vinduer!$A$5:$A$300=$A12)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2" s="19">
        <f>IF($A12="","",IF(COUNTIFS(Måned!$A$5:$A$2000,$A12,Måned!$C$5:$C$2000,MONTH(M$5+3))=0,"",MAX(1,MIN(5,SUMIFS(Måned!$H$5:$H$2000,Måned!$A$5:$A$2000,$A12,Måned!$C$5:$C$2000,MONTH(M$5+3))+SUMPRODUCT((Vinduer!$A$5:$A$300=$A12)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2" s="19">
        <f>IF($A12="","",IF(COUNTIFS(Måned!$A$5:$A$2000,$A12,Måned!$C$5:$C$2000,MONTH(N$5+3))=0,"",MAX(1,MIN(5,SUMIFS(Måned!$H$5:$H$2000,Måned!$A$5:$A$2000,$A12,Måned!$C$5:$C$2000,MONTH(N$5+3))+SUMPRODUCT((Vinduer!$A$5:$A$300=$A12)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2" s="19">
        <f>IF($A12="","",IF(COUNTIFS(Måned!$A$5:$A$2000,$A12,Måned!$C$5:$C$2000,MONTH(O$5+3))=0,"",MAX(1,MIN(5,SUMIFS(Måned!$H$5:$H$2000,Måned!$A$5:$A$2000,$A12,Måned!$C$5:$C$2000,MONTH(O$5+3))+SUMPRODUCT((Vinduer!$A$5:$A$300=$A12)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2" s="19">
        <f>IF($A12="","",IF(COUNTIFS(Måned!$A$5:$A$2000,$A12,Måned!$C$5:$C$2000,MONTH(P$5+3))=0,"",MAX(1,MIN(5,SUMIFS(Måned!$H$5:$H$2000,Måned!$A$5:$A$2000,$A12,Måned!$C$5:$C$2000,MONTH(P$5+3))+SUMPRODUCT((Vinduer!$A$5:$A$300=$A12)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2" s="19">
        <f>IF($A12="","",IF(COUNTIFS(Måned!$A$5:$A$2000,$A12,Måned!$C$5:$C$2000,MONTH(Q$5+3))=0,"",MAX(1,MIN(5,SUMIFS(Måned!$H$5:$H$2000,Måned!$A$5:$A$2000,$A12,Måned!$C$5:$C$2000,MONTH(Q$5+3))+SUMPRODUCT((Vinduer!$A$5:$A$300=$A12)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2" s="19">
        <f>IF($A12="","",IF(COUNTIFS(Måned!$A$5:$A$2000,$A12,Måned!$C$5:$C$2000,MONTH(R$5+3))=0,"",MAX(1,MIN(5,SUMIFS(Måned!$H$5:$H$2000,Måned!$A$5:$A$2000,$A12,Måned!$C$5:$C$2000,MONTH(R$5+3))+SUMPRODUCT((Vinduer!$A$5:$A$300=$A12)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2" s="19">
        <f>IF($A12="","",IF(COUNTIFS(Måned!$A$5:$A$2000,$A12,Måned!$C$5:$C$2000,MONTH(S$5+3))=0,"",MAX(1,MIN(5,SUMIFS(Måned!$H$5:$H$2000,Måned!$A$5:$A$2000,$A12,Måned!$C$5:$C$2000,MONTH(S$5+3))+SUMPRODUCT((Vinduer!$A$5:$A$300=$A12)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2" s="19">
        <f>IF($A12="","",IF(COUNTIFS(Måned!$A$5:$A$2000,$A12,Måned!$C$5:$C$2000,MONTH(T$5+3))=0,"",MAX(1,MIN(5,SUMIFS(Måned!$H$5:$H$2000,Måned!$A$5:$A$2000,$A12,Måned!$C$5:$C$2000,MONTH(T$5+3))+SUMPRODUCT((Vinduer!$A$5:$A$300=$A12)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2" s="19">
        <f>IF($A12="","",IF(COUNTIFS(Måned!$A$5:$A$2000,$A12,Måned!$C$5:$C$2000,MONTH(U$5+3))=0,"",MAX(1,MIN(5,SUMIFS(Måned!$H$5:$H$2000,Måned!$A$5:$A$2000,$A12,Måned!$C$5:$C$2000,MONTH(U$5+3))+SUMPRODUCT((Vinduer!$A$5:$A$300=$A12)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2" s="19">
        <f>IF($A12="","",IF(COUNTIFS(Måned!$A$5:$A$2000,$A12,Måned!$C$5:$C$2000,MONTH(V$5+3))=0,"",MAX(1,MIN(5,SUMIFS(Måned!$H$5:$H$2000,Måned!$A$5:$A$2000,$A12,Måned!$C$5:$C$2000,MONTH(V$5+3))+SUMPRODUCT((Vinduer!$A$5:$A$300=$A12)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2" s="19">
        <f>IF($A12="","",IF(COUNTIFS(Måned!$A$5:$A$2000,$A12,Måned!$C$5:$C$2000,MONTH(W$5+3))=0,"",MAX(1,MIN(5,SUMIFS(Måned!$H$5:$H$2000,Måned!$A$5:$A$2000,$A12,Måned!$C$5:$C$2000,MONTH(W$5+3))+SUMPRODUCT((Vinduer!$A$5:$A$300=$A12)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2" s="19">
        <f>IF($A12="","",IF(COUNTIFS(Måned!$A$5:$A$2000,$A12,Måned!$C$5:$C$2000,MONTH(X$5+3))=0,"",MAX(1,MIN(5,SUMIFS(Måned!$H$5:$H$2000,Måned!$A$5:$A$2000,$A12,Måned!$C$5:$C$2000,MONTH(X$5+3))+SUMPRODUCT((Vinduer!$A$5:$A$300=$A12)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2" s="19">
        <f>IF($A12="","",IF(COUNTIFS(Måned!$A$5:$A$2000,$A12,Måned!$C$5:$C$2000,MONTH(Y$5+3))=0,"",MAX(1,MIN(5,SUMIFS(Måned!$H$5:$H$2000,Måned!$A$5:$A$2000,$A12,Måned!$C$5:$C$2000,MONTH(Y$5+3))+SUMPRODUCT((Vinduer!$A$5:$A$300=$A12)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2" s="19">
        <f>IF($A12="","",IF(COUNTIFS(Måned!$A$5:$A$2000,$A12,Måned!$C$5:$C$2000,MONTH(Z$5+3))=0,"",MAX(1,MIN(5,SUMIFS(Måned!$H$5:$H$2000,Måned!$A$5:$A$2000,$A12,Måned!$C$5:$C$2000,MONTH(Z$5+3))+SUMPRODUCT((Vinduer!$A$5:$A$300=$A12)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2" s="19">
        <f>IF($A12="","",IF(COUNTIFS(Måned!$A$5:$A$2000,$A12,Måned!$C$5:$C$2000,MONTH(AA$5+3))=0,"",MAX(1,MIN(5,SUMIFS(Måned!$H$5:$H$2000,Måned!$A$5:$A$2000,$A12,Måned!$C$5:$C$2000,MONTH(AA$5+3))+SUMPRODUCT((Vinduer!$A$5:$A$300=$A12)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2" s="19">
        <f>IF($A12="","",IF(COUNTIFS(Måned!$A$5:$A$2000,$A12,Måned!$C$5:$C$2000,MONTH(AB$5+3))=0,"",MAX(1,MIN(5,SUMIFS(Måned!$H$5:$H$2000,Måned!$A$5:$A$2000,$A12,Måned!$C$5:$C$2000,MONTH(AB$5+3))+SUMPRODUCT((Vinduer!$A$5:$A$300=$A12)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2" s="19">
        <f>IF($A12="","",IF(COUNTIFS(Måned!$A$5:$A$2000,$A12,Måned!$C$5:$C$2000,MONTH(AC$5+3))=0,"",MAX(1,MIN(5,SUMIFS(Måned!$H$5:$H$2000,Måned!$A$5:$A$2000,$A12,Måned!$C$5:$C$2000,MONTH(AC$5+3))+SUMPRODUCT((Vinduer!$A$5:$A$300=$A12)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2" s="19">
        <f>IF($A12="","",IF(COUNTIFS(Måned!$A$5:$A$2000,$A12,Måned!$C$5:$C$2000,MONTH(AD$5+3))=0,"",MAX(1,MIN(5,SUMIFS(Måned!$H$5:$H$2000,Måned!$A$5:$A$2000,$A12,Måned!$C$5:$C$2000,MONTH(AD$5+3))+SUMPRODUCT((Vinduer!$A$5:$A$300=$A12)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2" s="19">
        <f>IF($A12="","",IF(COUNTIFS(Måned!$A$5:$A$2000,$A12,Måned!$C$5:$C$2000,MONTH(AE$5+3))=0,"",MAX(1,MIN(5,SUMIFS(Måned!$H$5:$H$2000,Måned!$A$5:$A$2000,$A12,Måned!$C$5:$C$2000,MONTH(AE$5+3))+SUMPRODUCT((Vinduer!$A$5:$A$300=$A12)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2" s="19">
        <f>IF($A12="","",IF(COUNTIFS(Måned!$A$5:$A$2000,$A12,Måned!$C$5:$C$2000,MONTH(AF$5+3))=0,"",MAX(1,MIN(5,SUMIFS(Måned!$H$5:$H$2000,Måned!$A$5:$A$2000,$A12,Måned!$C$5:$C$2000,MONTH(AF$5+3))+SUMPRODUCT((Vinduer!$A$5:$A$300=$A12)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2" s="19">
        <f>IF($A12="","",IF(COUNTIFS(Måned!$A$5:$A$2000,$A12,Måned!$C$5:$C$2000,MONTH(AG$5+3))=0,"",MAX(1,MIN(5,SUMIFS(Måned!$H$5:$H$2000,Måned!$A$5:$A$2000,$A12,Måned!$C$5:$C$2000,MONTH(AG$5+3))+SUMPRODUCT((Vinduer!$A$5:$A$300=$A12)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2" s="19">
        <f>IF($A12="","",IF(COUNTIFS(Måned!$A$5:$A$2000,$A12,Måned!$C$5:$C$2000,MONTH(AH$5+3))=0,"",MAX(1,MIN(5,SUMIFS(Måned!$H$5:$H$2000,Måned!$A$5:$A$2000,$A12,Måned!$C$5:$C$2000,MONTH(AH$5+3))+SUMPRODUCT((Vinduer!$A$5:$A$300=$A12)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2" s="19">
        <f>IF($A12="","",IF(COUNTIFS(Måned!$A$5:$A$2000,$A12,Måned!$C$5:$C$2000,MONTH(AI$5+3))=0,"",MAX(1,MIN(5,SUMIFS(Måned!$H$5:$H$2000,Måned!$A$5:$A$2000,$A12,Måned!$C$5:$C$2000,MONTH(AI$5+3))+SUMPRODUCT((Vinduer!$A$5:$A$300=$A12)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2" s="19">
        <f>IF($A12="","",IF(COUNTIFS(Måned!$A$5:$A$2000,$A12,Måned!$C$5:$C$2000,MONTH(AJ$5+3))=0,"",MAX(1,MIN(5,SUMIFS(Måned!$H$5:$H$2000,Måned!$A$5:$A$2000,$A12,Måned!$C$5:$C$2000,MONTH(AJ$5+3))+SUMPRODUCT((Vinduer!$A$5:$A$300=$A12)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2" s="19">
        <f>IF($A12="","",IF(COUNTIFS(Måned!$A$5:$A$2000,$A12,Måned!$C$5:$C$2000,MONTH(AK$5+3))=0,"",MAX(1,MIN(5,SUMIFS(Måned!$H$5:$H$2000,Måned!$A$5:$A$2000,$A12,Måned!$C$5:$C$2000,MONTH(AK$5+3))+SUMPRODUCT((Vinduer!$A$5:$A$300=$A12)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2" s="19">
        <f>IF($A12="","",IF(COUNTIFS(Måned!$A$5:$A$2000,$A12,Måned!$C$5:$C$2000,MONTH(AL$5+3))=0,"",MAX(1,MIN(5,SUMIFS(Måned!$H$5:$H$2000,Måned!$A$5:$A$2000,$A12,Måned!$C$5:$C$2000,MONTH(AL$5+3))+SUMPRODUCT((Vinduer!$A$5:$A$300=$A12)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2" s="19">
        <f>IF($A12="","",IF(COUNTIFS(Måned!$A$5:$A$2000,$A12,Måned!$C$5:$C$2000,MONTH(AM$5+3))=0,"",MAX(1,MIN(5,SUMIFS(Måned!$H$5:$H$2000,Måned!$A$5:$A$2000,$A12,Måned!$C$5:$C$2000,MONTH(AM$5+3))+SUMPRODUCT((Vinduer!$A$5:$A$300=$A12)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2" s="19">
        <f>IF($A12="","",IF(COUNTIFS(Måned!$A$5:$A$2000,$A12,Måned!$C$5:$C$2000,MONTH(AN$5+3))=0,"",MAX(1,MIN(5,SUMIFS(Måned!$H$5:$H$2000,Måned!$A$5:$A$2000,$A12,Måned!$C$5:$C$2000,MONTH(AN$5+3))+SUMPRODUCT((Vinduer!$A$5:$A$300=$A12)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2" s="19">
        <f>IF($A12="","",IF(COUNTIFS(Måned!$A$5:$A$2000,$A12,Måned!$C$5:$C$2000,MONTH(AO$5+3))=0,"",MAX(1,MIN(5,SUMIFS(Måned!$H$5:$H$2000,Måned!$A$5:$A$2000,$A12,Måned!$C$5:$C$2000,MONTH(AO$5+3))+SUMPRODUCT((Vinduer!$A$5:$A$300=$A12)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2" s="19">
        <f>IF($A12="","",IF(COUNTIFS(Måned!$A$5:$A$2000,$A12,Måned!$C$5:$C$2000,MONTH(AP$5+3))=0,"",MAX(1,MIN(5,SUMIFS(Måned!$H$5:$H$2000,Måned!$A$5:$A$2000,$A12,Måned!$C$5:$C$2000,MONTH(AP$5+3))+SUMPRODUCT((Vinduer!$A$5:$A$300=$A12)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2" s="19">
        <f>IF($A12="","",IF(COUNTIFS(Måned!$A$5:$A$2000,$A12,Måned!$C$5:$C$2000,MONTH(AQ$5+3))=0,"",MAX(1,MIN(5,SUMIFS(Måned!$H$5:$H$2000,Måned!$A$5:$A$2000,$A12,Måned!$C$5:$C$2000,MONTH(AQ$5+3))+SUMPRODUCT((Vinduer!$A$5:$A$300=$A12)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2" s="19">
        <f>IF($A12="","",IF(COUNTIFS(Måned!$A$5:$A$2000,$A12,Måned!$C$5:$C$2000,MONTH(AR$5+3))=0,"",MAX(1,MIN(5,SUMIFS(Måned!$H$5:$H$2000,Måned!$A$5:$A$2000,$A12,Måned!$C$5:$C$2000,MONTH(AR$5+3))+SUMPRODUCT((Vinduer!$A$5:$A$300=$A12)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2" s="19">
        <f>IF($A12="","",IF(COUNTIFS(Måned!$A$5:$A$2000,$A12,Måned!$C$5:$C$2000,MONTH(AS$5+3))=0,"",MAX(1,MIN(5,SUMIFS(Måned!$H$5:$H$2000,Måned!$A$5:$A$2000,$A12,Måned!$C$5:$C$2000,MONTH(AS$5+3))+SUMPRODUCT((Vinduer!$A$5:$A$300=$A12)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2" s="19">
        <f>IF($A12="","",IF(COUNTIFS(Måned!$A$5:$A$2000,$A12,Måned!$C$5:$C$2000,MONTH(AT$5+3))=0,"",MAX(1,MIN(5,SUMIFS(Måned!$H$5:$H$2000,Måned!$A$5:$A$2000,$A12,Måned!$C$5:$C$2000,MONTH(AT$5+3))+SUMPRODUCT((Vinduer!$A$5:$A$300=$A12)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2" s="19">
        <f>IF($A12="","",IF(COUNTIFS(Måned!$A$5:$A$2000,$A12,Måned!$C$5:$C$2000,MONTH(AU$5+3))=0,"",MAX(1,MIN(5,SUMIFS(Måned!$H$5:$H$2000,Måned!$A$5:$A$2000,$A12,Måned!$C$5:$C$2000,MONTH(AU$5+3))+SUMPRODUCT((Vinduer!$A$5:$A$300=$A12)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2" s="19">
        <f>IF($A12="","",IF(COUNTIFS(Måned!$A$5:$A$2000,$A12,Måned!$C$5:$C$2000,MONTH(AV$5+3))=0,"",MAX(1,MIN(5,SUMIFS(Måned!$H$5:$H$2000,Måned!$A$5:$A$2000,$A12,Måned!$C$5:$C$2000,MONTH(AV$5+3))+SUMPRODUCT((Vinduer!$A$5:$A$300=$A12)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2" s="19">
        <f>IF($A12="","",IF(COUNTIFS(Måned!$A$5:$A$2000,$A12,Måned!$C$5:$C$2000,MONTH(AW$5+3))=0,"",MAX(1,MIN(5,SUMIFS(Måned!$H$5:$H$2000,Måned!$A$5:$A$2000,$A12,Måned!$C$5:$C$2000,MONTH(AW$5+3))+SUMPRODUCT((Vinduer!$A$5:$A$300=$A12)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2" s="19">
        <f>IF($A12="","",IF(COUNTIFS(Måned!$A$5:$A$2000,$A12,Måned!$C$5:$C$2000,MONTH(AX$5+3))=0,"",MAX(1,MIN(5,SUMIFS(Måned!$H$5:$H$2000,Måned!$A$5:$A$2000,$A12,Måned!$C$5:$C$2000,MONTH(AX$5+3))+SUMPRODUCT((Vinduer!$A$5:$A$300=$A12)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2" s="19">
        <f>IF($A12="","",IF(COUNTIFS(Måned!$A$5:$A$2000,$A12,Måned!$C$5:$C$2000,MONTH(AY$5+3))=0,"",MAX(1,MIN(5,SUMIFS(Måned!$H$5:$H$2000,Måned!$A$5:$A$2000,$A12,Måned!$C$5:$C$2000,MONTH(AY$5+3))+SUMPRODUCT((Vinduer!$A$5:$A$300=$A12)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2" s="19">
        <f>IF($A12="","",IF(COUNTIFS(Måned!$A$5:$A$2000,$A12,Måned!$C$5:$C$2000,MONTH(AZ$5+3))=0,"",MAX(1,MIN(5,SUMIFS(Måned!$H$5:$H$2000,Måned!$A$5:$A$2000,$A12,Måned!$C$5:$C$2000,MONTH(AZ$5+3))+SUMPRODUCT((Vinduer!$A$5:$A$300=$A12)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2" s="19">
        <f>IF($A12="","",IF(COUNTIFS(Måned!$A$5:$A$2000,$A12,Måned!$C$5:$C$2000,MONTH(BA$5+3))=0,"",MAX(1,MIN(5,SUMIFS(Måned!$H$5:$H$2000,Måned!$A$5:$A$2000,$A12,Måned!$C$5:$C$2000,MONTH(BA$5+3))+SUMPRODUCT((Vinduer!$A$5:$A$300=$A12)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2" s="19">
        <f>IF($A12="","",IF(COUNTIFS(Måned!$A$5:$A$2000,$A12,Måned!$C$5:$C$2000,MONTH(BB$5+3))=0,"",MAX(1,MIN(5,SUMIFS(Måned!$H$5:$H$2000,Måned!$A$5:$A$2000,$A12,Måned!$C$5:$C$2000,MONTH(BB$5+3))+SUMPRODUCT((Vinduer!$A$5:$A$300=$A12)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2" s="19">
        <f>IF($A12="","",IF(COUNTIFS(Måned!$A$5:$A$2000,$A12,Måned!$C$5:$C$2000,MONTH(BC$5+3))=0,"",MAX(1,MIN(5,SUMIFS(Måned!$H$5:$H$2000,Måned!$A$5:$A$2000,$A12,Måned!$C$5:$C$2000,MONTH(BC$5+3))+SUMPRODUCT((Vinduer!$A$5:$A$300=$A12)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2" s="19">
        <f>IF($A12="","",IF(COUNTIFS(Måned!$A$5:$A$2000,$A12,Måned!$C$5:$C$2000,MONTH(BD$5+3))=0,"",MAX(1,MIN(5,SUMIFS(Måned!$H$5:$H$2000,Måned!$A$5:$A$2000,$A12,Måned!$C$5:$C$2000,MONTH(BD$5+3))+SUMPRODUCT((Vinduer!$A$5:$A$300=$A12)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2" s="19">
        <f>IF($A12="","",IF(COUNTIFS(Måned!$A$5:$A$2000,$A12,Måned!$C$5:$C$2000,MONTH(BE$5+3))=0,"",MAX(1,MIN(5,SUMIFS(Måned!$H$5:$H$2000,Måned!$A$5:$A$2000,$A12,Måned!$C$5:$C$2000,MONTH(BE$5+3))+SUMPRODUCT((Vinduer!$A$5:$A$300=$A12)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3">
      <c r="A13" s="5">
        <f>IF(Destinasjoner!A9="","",Destinasjoner!A9)</f>
        <v/>
      </c>
      <c r="B13" s="5">
        <f>IF(A13="","",Destinasjoner!E9)</f>
        <v/>
      </c>
      <c r="C13" s="5">
        <f>IF(A13="","",Destinasjoner!B9)</f>
        <v/>
      </c>
      <c r="D13" s="17">
        <f>IFERROR(SUMIFS(F13:BE13,$F$7:$BE$7,"x")/COUNTIFS($F$7:$BE$7,"x",F13:BE13,"&gt;0"),"")</f>
        <v/>
      </c>
      <c r="E13" s="18">
        <f>IF(D13="","",_xlfn.MINIFS(F13:BE13,$F$7:$BE$7,"x",F13:BE13,"&gt;0"))</f>
        <v/>
      </c>
      <c r="F13" s="19">
        <f>IF($A13="","",IF(COUNTIFS(Måned!$A$5:$A$2000,$A13,Måned!$C$5:$C$2000,MONTH(F$5+3))=0,"",MAX(1,MIN(5,SUMIFS(Måned!$H$5:$H$2000,Måned!$A$5:$A$2000,$A13,Måned!$C$5:$C$2000,MONTH(F$5+3))+SUMPRODUCT((Vinduer!$A$5:$A$300=$A13)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3" s="19">
        <f>IF($A13="","",IF(COUNTIFS(Måned!$A$5:$A$2000,$A13,Måned!$C$5:$C$2000,MONTH(G$5+3))=0,"",MAX(1,MIN(5,SUMIFS(Måned!$H$5:$H$2000,Måned!$A$5:$A$2000,$A13,Måned!$C$5:$C$2000,MONTH(G$5+3))+SUMPRODUCT((Vinduer!$A$5:$A$300=$A13)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3" s="19">
        <f>IF($A13="","",IF(COUNTIFS(Måned!$A$5:$A$2000,$A13,Måned!$C$5:$C$2000,MONTH(H$5+3))=0,"",MAX(1,MIN(5,SUMIFS(Måned!$H$5:$H$2000,Måned!$A$5:$A$2000,$A13,Måned!$C$5:$C$2000,MONTH(H$5+3))+SUMPRODUCT((Vinduer!$A$5:$A$300=$A13)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3" s="19">
        <f>IF($A13="","",IF(COUNTIFS(Måned!$A$5:$A$2000,$A13,Måned!$C$5:$C$2000,MONTH(I$5+3))=0,"",MAX(1,MIN(5,SUMIFS(Måned!$H$5:$H$2000,Måned!$A$5:$A$2000,$A13,Måned!$C$5:$C$2000,MONTH(I$5+3))+SUMPRODUCT((Vinduer!$A$5:$A$300=$A13)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3" s="19">
        <f>IF($A13="","",IF(COUNTIFS(Måned!$A$5:$A$2000,$A13,Måned!$C$5:$C$2000,MONTH(J$5+3))=0,"",MAX(1,MIN(5,SUMIFS(Måned!$H$5:$H$2000,Måned!$A$5:$A$2000,$A13,Måned!$C$5:$C$2000,MONTH(J$5+3))+SUMPRODUCT((Vinduer!$A$5:$A$300=$A13)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3" s="19">
        <f>IF($A13="","",IF(COUNTIFS(Måned!$A$5:$A$2000,$A13,Måned!$C$5:$C$2000,MONTH(K$5+3))=0,"",MAX(1,MIN(5,SUMIFS(Måned!$H$5:$H$2000,Måned!$A$5:$A$2000,$A13,Måned!$C$5:$C$2000,MONTH(K$5+3))+SUMPRODUCT((Vinduer!$A$5:$A$300=$A13)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3" s="19">
        <f>IF($A13="","",IF(COUNTIFS(Måned!$A$5:$A$2000,$A13,Måned!$C$5:$C$2000,MONTH(L$5+3))=0,"",MAX(1,MIN(5,SUMIFS(Måned!$H$5:$H$2000,Måned!$A$5:$A$2000,$A13,Måned!$C$5:$C$2000,MONTH(L$5+3))+SUMPRODUCT((Vinduer!$A$5:$A$300=$A13)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3" s="19">
        <f>IF($A13="","",IF(COUNTIFS(Måned!$A$5:$A$2000,$A13,Måned!$C$5:$C$2000,MONTH(M$5+3))=0,"",MAX(1,MIN(5,SUMIFS(Måned!$H$5:$H$2000,Måned!$A$5:$A$2000,$A13,Måned!$C$5:$C$2000,MONTH(M$5+3))+SUMPRODUCT((Vinduer!$A$5:$A$300=$A13)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3" s="19">
        <f>IF($A13="","",IF(COUNTIFS(Måned!$A$5:$A$2000,$A13,Måned!$C$5:$C$2000,MONTH(N$5+3))=0,"",MAX(1,MIN(5,SUMIFS(Måned!$H$5:$H$2000,Måned!$A$5:$A$2000,$A13,Måned!$C$5:$C$2000,MONTH(N$5+3))+SUMPRODUCT((Vinduer!$A$5:$A$300=$A13)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3" s="19">
        <f>IF($A13="","",IF(COUNTIFS(Måned!$A$5:$A$2000,$A13,Måned!$C$5:$C$2000,MONTH(O$5+3))=0,"",MAX(1,MIN(5,SUMIFS(Måned!$H$5:$H$2000,Måned!$A$5:$A$2000,$A13,Måned!$C$5:$C$2000,MONTH(O$5+3))+SUMPRODUCT((Vinduer!$A$5:$A$300=$A13)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3" s="19">
        <f>IF($A13="","",IF(COUNTIFS(Måned!$A$5:$A$2000,$A13,Måned!$C$5:$C$2000,MONTH(P$5+3))=0,"",MAX(1,MIN(5,SUMIFS(Måned!$H$5:$H$2000,Måned!$A$5:$A$2000,$A13,Måned!$C$5:$C$2000,MONTH(P$5+3))+SUMPRODUCT((Vinduer!$A$5:$A$300=$A13)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3" s="19">
        <f>IF($A13="","",IF(COUNTIFS(Måned!$A$5:$A$2000,$A13,Måned!$C$5:$C$2000,MONTH(Q$5+3))=0,"",MAX(1,MIN(5,SUMIFS(Måned!$H$5:$H$2000,Måned!$A$5:$A$2000,$A13,Måned!$C$5:$C$2000,MONTH(Q$5+3))+SUMPRODUCT((Vinduer!$A$5:$A$300=$A13)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3" s="19">
        <f>IF($A13="","",IF(COUNTIFS(Måned!$A$5:$A$2000,$A13,Måned!$C$5:$C$2000,MONTH(R$5+3))=0,"",MAX(1,MIN(5,SUMIFS(Måned!$H$5:$H$2000,Måned!$A$5:$A$2000,$A13,Måned!$C$5:$C$2000,MONTH(R$5+3))+SUMPRODUCT((Vinduer!$A$5:$A$300=$A13)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3" s="19">
        <f>IF($A13="","",IF(COUNTIFS(Måned!$A$5:$A$2000,$A13,Måned!$C$5:$C$2000,MONTH(S$5+3))=0,"",MAX(1,MIN(5,SUMIFS(Måned!$H$5:$H$2000,Måned!$A$5:$A$2000,$A13,Måned!$C$5:$C$2000,MONTH(S$5+3))+SUMPRODUCT((Vinduer!$A$5:$A$300=$A13)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3" s="19">
        <f>IF($A13="","",IF(COUNTIFS(Måned!$A$5:$A$2000,$A13,Måned!$C$5:$C$2000,MONTH(T$5+3))=0,"",MAX(1,MIN(5,SUMIFS(Måned!$H$5:$H$2000,Måned!$A$5:$A$2000,$A13,Måned!$C$5:$C$2000,MONTH(T$5+3))+SUMPRODUCT((Vinduer!$A$5:$A$300=$A13)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3" s="19">
        <f>IF($A13="","",IF(COUNTIFS(Måned!$A$5:$A$2000,$A13,Måned!$C$5:$C$2000,MONTH(U$5+3))=0,"",MAX(1,MIN(5,SUMIFS(Måned!$H$5:$H$2000,Måned!$A$5:$A$2000,$A13,Måned!$C$5:$C$2000,MONTH(U$5+3))+SUMPRODUCT((Vinduer!$A$5:$A$300=$A13)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3" s="19">
        <f>IF($A13="","",IF(COUNTIFS(Måned!$A$5:$A$2000,$A13,Måned!$C$5:$C$2000,MONTH(V$5+3))=0,"",MAX(1,MIN(5,SUMIFS(Måned!$H$5:$H$2000,Måned!$A$5:$A$2000,$A13,Måned!$C$5:$C$2000,MONTH(V$5+3))+SUMPRODUCT((Vinduer!$A$5:$A$300=$A13)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3" s="19">
        <f>IF($A13="","",IF(COUNTIFS(Måned!$A$5:$A$2000,$A13,Måned!$C$5:$C$2000,MONTH(W$5+3))=0,"",MAX(1,MIN(5,SUMIFS(Måned!$H$5:$H$2000,Måned!$A$5:$A$2000,$A13,Måned!$C$5:$C$2000,MONTH(W$5+3))+SUMPRODUCT((Vinduer!$A$5:$A$300=$A13)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3" s="19">
        <f>IF($A13="","",IF(COUNTIFS(Måned!$A$5:$A$2000,$A13,Måned!$C$5:$C$2000,MONTH(X$5+3))=0,"",MAX(1,MIN(5,SUMIFS(Måned!$H$5:$H$2000,Måned!$A$5:$A$2000,$A13,Måned!$C$5:$C$2000,MONTH(X$5+3))+SUMPRODUCT((Vinduer!$A$5:$A$300=$A13)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3" s="19">
        <f>IF($A13="","",IF(COUNTIFS(Måned!$A$5:$A$2000,$A13,Måned!$C$5:$C$2000,MONTH(Y$5+3))=0,"",MAX(1,MIN(5,SUMIFS(Måned!$H$5:$H$2000,Måned!$A$5:$A$2000,$A13,Måned!$C$5:$C$2000,MONTH(Y$5+3))+SUMPRODUCT((Vinduer!$A$5:$A$300=$A13)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3" s="19">
        <f>IF($A13="","",IF(COUNTIFS(Måned!$A$5:$A$2000,$A13,Måned!$C$5:$C$2000,MONTH(Z$5+3))=0,"",MAX(1,MIN(5,SUMIFS(Måned!$H$5:$H$2000,Måned!$A$5:$A$2000,$A13,Måned!$C$5:$C$2000,MONTH(Z$5+3))+SUMPRODUCT((Vinduer!$A$5:$A$300=$A13)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3" s="19">
        <f>IF($A13="","",IF(COUNTIFS(Måned!$A$5:$A$2000,$A13,Måned!$C$5:$C$2000,MONTH(AA$5+3))=0,"",MAX(1,MIN(5,SUMIFS(Måned!$H$5:$H$2000,Måned!$A$5:$A$2000,$A13,Måned!$C$5:$C$2000,MONTH(AA$5+3))+SUMPRODUCT((Vinduer!$A$5:$A$300=$A13)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3" s="19">
        <f>IF($A13="","",IF(COUNTIFS(Måned!$A$5:$A$2000,$A13,Måned!$C$5:$C$2000,MONTH(AB$5+3))=0,"",MAX(1,MIN(5,SUMIFS(Måned!$H$5:$H$2000,Måned!$A$5:$A$2000,$A13,Måned!$C$5:$C$2000,MONTH(AB$5+3))+SUMPRODUCT((Vinduer!$A$5:$A$300=$A13)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3" s="19">
        <f>IF($A13="","",IF(COUNTIFS(Måned!$A$5:$A$2000,$A13,Måned!$C$5:$C$2000,MONTH(AC$5+3))=0,"",MAX(1,MIN(5,SUMIFS(Måned!$H$5:$H$2000,Måned!$A$5:$A$2000,$A13,Måned!$C$5:$C$2000,MONTH(AC$5+3))+SUMPRODUCT((Vinduer!$A$5:$A$300=$A13)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3" s="19">
        <f>IF($A13="","",IF(COUNTIFS(Måned!$A$5:$A$2000,$A13,Måned!$C$5:$C$2000,MONTH(AD$5+3))=0,"",MAX(1,MIN(5,SUMIFS(Måned!$H$5:$H$2000,Måned!$A$5:$A$2000,$A13,Måned!$C$5:$C$2000,MONTH(AD$5+3))+SUMPRODUCT((Vinduer!$A$5:$A$300=$A13)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3" s="19">
        <f>IF($A13="","",IF(COUNTIFS(Måned!$A$5:$A$2000,$A13,Måned!$C$5:$C$2000,MONTH(AE$5+3))=0,"",MAX(1,MIN(5,SUMIFS(Måned!$H$5:$H$2000,Måned!$A$5:$A$2000,$A13,Måned!$C$5:$C$2000,MONTH(AE$5+3))+SUMPRODUCT((Vinduer!$A$5:$A$300=$A13)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3" s="19">
        <f>IF($A13="","",IF(COUNTIFS(Måned!$A$5:$A$2000,$A13,Måned!$C$5:$C$2000,MONTH(AF$5+3))=0,"",MAX(1,MIN(5,SUMIFS(Måned!$H$5:$H$2000,Måned!$A$5:$A$2000,$A13,Måned!$C$5:$C$2000,MONTH(AF$5+3))+SUMPRODUCT((Vinduer!$A$5:$A$300=$A13)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3" s="19">
        <f>IF($A13="","",IF(COUNTIFS(Måned!$A$5:$A$2000,$A13,Måned!$C$5:$C$2000,MONTH(AG$5+3))=0,"",MAX(1,MIN(5,SUMIFS(Måned!$H$5:$H$2000,Måned!$A$5:$A$2000,$A13,Måned!$C$5:$C$2000,MONTH(AG$5+3))+SUMPRODUCT((Vinduer!$A$5:$A$300=$A13)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3" s="19">
        <f>IF($A13="","",IF(COUNTIFS(Måned!$A$5:$A$2000,$A13,Måned!$C$5:$C$2000,MONTH(AH$5+3))=0,"",MAX(1,MIN(5,SUMIFS(Måned!$H$5:$H$2000,Måned!$A$5:$A$2000,$A13,Måned!$C$5:$C$2000,MONTH(AH$5+3))+SUMPRODUCT((Vinduer!$A$5:$A$300=$A13)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3" s="19">
        <f>IF($A13="","",IF(COUNTIFS(Måned!$A$5:$A$2000,$A13,Måned!$C$5:$C$2000,MONTH(AI$5+3))=0,"",MAX(1,MIN(5,SUMIFS(Måned!$H$5:$H$2000,Måned!$A$5:$A$2000,$A13,Måned!$C$5:$C$2000,MONTH(AI$5+3))+SUMPRODUCT((Vinduer!$A$5:$A$300=$A13)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3" s="19">
        <f>IF($A13="","",IF(COUNTIFS(Måned!$A$5:$A$2000,$A13,Måned!$C$5:$C$2000,MONTH(AJ$5+3))=0,"",MAX(1,MIN(5,SUMIFS(Måned!$H$5:$H$2000,Måned!$A$5:$A$2000,$A13,Måned!$C$5:$C$2000,MONTH(AJ$5+3))+SUMPRODUCT((Vinduer!$A$5:$A$300=$A13)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3" s="19">
        <f>IF($A13="","",IF(COUNTIFS(Måned!$A$5:$A$2000,$A13,Måned!$C$5:$C$2000,MONTH(AK$5+3))=0,"",MAX(1,MIN(5,SUMIFS(Måned!$H$5:$H$2000,Måned!$A$5:$A$2000,$A13,Måned!$C$5:$C$2000,MONTH(AK$5+3))+SUMPRODUCT((Vinduer!$A$5:$A$300=$A13)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3" s="19">
        <f>IF($A13="","",IF(COUNTIFS(Måned!$A$5:$A$2000,$A13,Måned!$C$5:$C$2000,MONTH(AL$5+3))=0,"",MAX(1,MIN(5,SUMIFS(Måned!$H$5:$H$2000,Måned!$A$5:$A$2000,$A13,Måned!$C$5:$C$2000,MONTH(AL$5+3))+SUMPRODUCT((Vinduer!$A$5:$A$300=$A13)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3" s="19">
        <f>IF($A13="","",IF(COUNTIFS(Måned!$A$5:$A$2000,$A13,Måned!$C$5:$C$2000,MONTH(AM$5+3))=0,"",MAX(1,MIN(5,SUMIFS(Måned!$H$5:$H$2000,Måned!$A$5:$A$2000,$A13,Måned!$C$5:$C$2000,MONTH(AM$5+3))+SUMPRODUCT((Vinduer!$A$5:$A$300=$A13)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3" s="19">
        <f>IF($A13="","",IF(COUNTIFS(Måned!$A$5:$A$2000,$A13,Måned!$C$5:$C$2000,MONTH(AN$5+3))=0,"",MAX(1,MIN(5,SUMIFS(Måned!$H$5:$H$2000,Måned!$A$5:$A$2000,$A13,Måned!$C$5:$C$2000,MONTH(AN$5+3))+SUMPRODUCT((Vinduer!$A$5:$A$300=$A13)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3" s="19">
        <f>IF($A13="","",IF(COUNTIFS(Måned!$A$5:$A$2000,$A13,Måned!$C$5:$C$2000,MONTH(AO$5+3))=0,"",MAX(1,MIN(5,SUMIFS(Måned!$H$5:$H$2000,Måned!$A$5:$A$2000,$A13,Måned!$C$5:$C$2000,MONTH(AO$5+3))+SUMPRODUCT((Vinduer!$A$5:$A$300=$A13)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3" s="19">
        <f>IF($A13="","",IF(COUNTIFS(Måned!$A$5:$A$2000,$A13,Måned!$C$5:$C$2000,MONTH(AP$5+3))=0,"",MAX(1,MIN(5,SUMIFS(Måned!$H$5:$H$2000,Måned!$A$5:$A$2000,$A13,Måned!$C$5:$C$2000,MONTH(AP$5+3))+SUMPRODUCT((Vinduer!$A$5:$A$300=$A13)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3" s="19">
        <f>IF($A13="","",IF(COUNTIFS(Måned!$A$5:$A$2000,$A13,Måned!$C$5:$C$2000,MONTH(AQ$5+3))=0,"",MAX(1,MIN(5,SUMIFS(Måned!$H$5:$H$2000,Måned!$A$5:$A$2000,$A13,Måned!$C$5:$C$2000,MONTH(AQ$5+3))+SUMPRODUCT((Vinduer!$A$5:$A$300=$A13)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3" s="19">
        <f>IF($A13="","",IF(COUNTIFS(Måned!$A$5:$A$2000,$A13,Måned!$C$5:$C$2000,MONTH(AR$5+3))=0,"",MAX(1,MIN(5,SUMIFS(Måned!$H$5:$H$2000,Måned!$A$5:$A$2000,$A13,Måned!$C$5:$C$2000,MONTH(AR$5+3))+SUMPRODUCT((Vinduer!$A$5:$A$300=$A13)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3" s="19">
        <f>IF($A13="","",IF(COUNTIFS(Måned!$A$5:$A$2000,$A13,Måned!$C$5:$C$2000,MONTH(AS$5+3))=0,"",MAX(1,MIN(5,SUMIFS(Måned!$H$5:$H$2000,Måned!$A$5:$A$2000,$A13,Måned!$C$5:$C$2000,MONTH(AS$5+3))+SUMPRODUCT((Vinduer!$A$5:$A$300=$A13)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3" s="19">
        <f>IF($A13="","",IF(COUNTIFS(Måned!$A$5:$A$2000,$A13,Måned!$C$5:$C$2000,MONTH(AT$5+3))=0,"",MAX(1,MIN(5,SUMIFS(Måned!$H$5:$H$2000,Måned!$A$5:$A$2000,$A13,Måned!$C$5:$C$2000,MONTH(AT$5+3))+SUMPRODUCT((Vinduer!$A$5:$A$300=$A13)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3" s="19">
        <f>IF($A13="","",IF(COUNTIFS(Måned!$A$5:$A$2000,$A13,Måned!$C$5:$C$2000,MONTH(AU$5+3))=0,"",MAX(1,MIN(5,SUMIFS(Måned!$H$5:$H$2000,Måned!$A$5:$A$2000,$A13,Måned!$C$5:$C$2000,MONTH(AU$5+3))+SUMPRODUCT((Vinduer!$A$5:$A$300=$A13)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3" s="19">
        <f>IF($A13="","",IF(COUNTIFS(Måned!$A$5:$A$2000,$A13,Måned!$C$5:$C$2000,MONTH(AV$5+3))=0,"",MAX(1,MIN(5,SUMIFS(Måned!$H$5:$H$2000,Måned!$A$5:$A$2000,$A13,Måned!$C$5:$C$2000,MONTH(AV$5+3))+SUMPRODUCT((Vinduer!$A$5:$A$300=$A13)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3" s="19">
        <f>IF($A13="","",IF(COUNTIFS(Måned!$A$5:$A$2000,$A13,Måned!$C$5:$C$2000,MONTH(AW$5+3))=0,"",MAX(1,MIN(5,SUMIFS(Måned!$H$5:$H$2000,Måned!$A$5:$A$2000,$A13,Måned!$C$5:$C$2000,MONTH(AW$5+3))+SUMPRODUCT((Vinduer!$A$5:$A$300=$A13)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3" s="19">
        <f>IF($A13="","",IF(COUNTIFS(Måned!$A$5:$A$2000,$A13,Måned!$C$5:$C$2000,MONTH(AX$5+3))=0,"",MAX(1,MIN(5,SUMIFS(Måned!$H$5:$H$2000,Måned!$A$5:$A$2000,$A13,Måned!$C$5:$C$2000,MONTH(AX$5+3))+SUMPRODUCT((Vinduer!$A$5:$A$300=$A13)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3" s="19">
        <f>IF($A13="","",IF(COUNTIFS(Måned!$A$5:$A$2000,$A13,Måned!$C$5:$C$2000,MONTH(AY$5+3))=0,"",MAX(1,MIN(5,SUMIFS(Måned!$H$5:$H$2000,Måned!$A$5:$A$2000,$A13,Måned!$C$5:$C$2000,MONTH(AY$5+3))+SUMPRODUCT((Vinduer!$A$5:$A$300=$A13)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3" s="19">
        <f>IF($A13="","",IF(COUNTIFS(Måned!$A$5:$A$2000,$A13,Måned!$C$5:$C$2000,MONTH(AZ$5+3))=0,"",MAX(1,MIN(5,SUMIFS(Måned!$H$5:$H$2000,Måned!$A$5:$A$2000,$A13,Måned!$C$5:$C$2000,MONTH(AZ$5+3))+SUMPRODUCT((Vinduer!$A$5:$A$300=$A13)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3" s="19">
        <f>IF($A13="","",IF(COUNTIFS(Måned!$A$5:$A$2000,$A13,Måned!$C$5:$C$2000,MONTH(BA$5+3))=0,"",MAX(1,MIN(5,SUMIFS(Måned!$H$5:$H$2000,Måned!$A$5:$A$2000,$A13,Måned!$C$5:$C$2000,MONTH(BA$5+3))+SUMPRODUCT((Vinduer!$A$5:$A$300=$A13)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3" s="19">
        <f>IF($A13="","",IF(COUNTIFS(Måned!$A$5:$A$2000,$A13,Måned!$C$5:$C$2000,MONTH(BB$5+3))=0,"",MAX(1,MIN(5,SUMIFS(Måned!$H$5:$H$2000,Måned!$A$5:$A$2000,$A13,Måned!$C$5:$C$2000,MONTH(BB$5+3))+SUMPRODUCT((Vinduer!$A$5:$A$300=$A13)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3" s="19">
        <f>IF($A13="","",IF(COUNTIFS(Måned!$A$5:$A$2000,$A13,Måned!$C$5:$C$2000,MONTH(BC$5+3))=0,"",MAX(1,MIN(5,SUMIFS(Måned!$H$5:$H$2000,Måned!$A$5:$A$2000,$A13,Måned!$C$5:$C$2000,MONTH(BC$5+3))+SUMPRODUCT((Vinduer!$A$5:$A$300=$A13)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3" s="19">
        <f>IF($A13="","",IF(COUNTIFS(Måned!$A$5:$A$2000,$A13,Måned!$C$5:$C$2000,MONTH(BD$5+3))=0,"",MAX(1,MIN(5,SUMIFS(Måned!$H$5:$H$2000,Måned!$A$5:$A$2000,$A13,Måned!$C$5:$C$2000,MONTH(BD$5+3))+SUMPRODUCT((Vinduer!$A$5:$A$300=$A13)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3" s="19">
        <f>IF($A13="","",IF(COUNTIFS(Måned!$A$5:$A$2000,$A13,Måned!$C$5:$C$2000,MONTH(BE$5+3))=0,"",MAX(1,MIN(5,SUMIFS(Måned!$H$5:$H$2000,Måned!$A$5:$A$2000,$A13,Måned!$C$5:$C$2000,MONTH(BE$5+3))+SUMPRODUCT((Vinduer!$A$5:$A$300=$A13)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4">
      <c r="A14" s="5">
        <f>IF(Destinasjoner!A10="","",Destinasjoner!A10)</f>
        <v/>
      </c>
      <c r="B14" s="5">
        <f>IF(A14="","",Destinasjoner!E10)</f>
        <v/>
      </c>
      <c r="C14" s="5">
        <f>IF(A14="","",Destinasjoner!B10)</f>
        <v/>
      </c>
      <c r="D14" s="17">
        <f>IFERROR(SUMIFS(F14:BE14,$F$7:$BE$7,"x")/COUNTIFS($F$7:$BE$7,"x",F14:BE14,"&gt;0"),"")</f>
        <v/>
      </c>
      <c r="E14" s="18">
        <f>IF(D14="","",_xlfn.MINIFS(F14:BE14,$F$7:$BE$7,"x",F14:BE14,"&gt;0"))</f>
        <v/>
      </c>
      <c r="F14" s="19">
        <f>IF($A14="","",IF(COUNTIFS(Måned!$A$5:$A$2000,$A14,Måned!$C$5:$C$2000,MONTH(F$5+3))=0,"",MAX(1,MIN(5,SUMIFS(Måned!$H$5:$H$2000,Måned!$A$5:$A$2000,$A14,Måned!$C$5:$C$2000,MONTH(F$5+3))+SUMPRODUCT((Vinduer!$A$5:$A$300=$A14)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4" s="19">
        <f>IF($A14="","",IF(COUNTIFS(Måned!$A$5:$A$2000,$A14,Måned!$C$5:$C$2000,MONTH(G$5+3))=0,"",MAX(1,MIN(5,SUMIFS(Måned!$H$5:$H$2000,Måned!$A$5:$A$2000,$A14,Måned!$C$5:$C$2000,MONTH(G$5+3))+SUMPRODUCT((Vinduer!$A$5:$A$300=$A14)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4" s="19">
        <f>IF($A14="","",IF(COUNTIFS(Måned!$A$5:$A$2000,$A14,Måned!$C$5:$C$2000,MONTH(H$5+3))=0,"",MAX(1,MIN(5,SUMIFS(Måned!$H$5:$H$2000,Måned!$A$5:$A$2000,$A14,Måned!$C$5:$C$2000,MONTH(H$5+3))+SUMPRODUCT((Vinduer!$A$5:$A$300=$A14)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4" s="19">
        <f>IF($A14="","",IF(COUNTIFS(Måned!$A$5:$A$2000,$A14,Måned!$C$5:$C$2000,MONTH(I$5+3))=0,"",MAX(1,MIN(5,SUMIFS(Måned!$H$5:$H$2000,Måned!$A$5:$A$2000,$A14,Måned!$C$5:$C$2000,MONTH(I$5+3))+SUMPRODUCT((Vinduer!$A$5:$A$300=$A14)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4" s="19">
        <f>IF($A14="","",IF(COUNTIFS(Måned!$A$5:$A$2000,$A14,Måned!$C$5:$C$2000,MONTH(J$5+3))=0,"",MAX(1,MIN(5,SUMIFS(Måned!$H$5:$H$2000,Måned!$A$5:$A$2000,$A14,Måned!$C$5:$C$2000,MONTH(J$5+3))+SUMPRODUCT((Vinduer!$A$5:$A$300=$A14)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4" s="19">
        <f>IF($A14="","",IF(COUNTIFS(Måned!$A$5:$A$2000,$A14,Måned!$C$5:$C$2000,MONTH(K$5+3))=0,"",MAX(1,MIN(5,SUMIFS(Måned!$H$5:$H$2000,Måned!$A$5:$A$2000,$A14,Måned!$C$5:$C$2000,MONTH(K$5+3))+SUMPRODUCT((Vinduer!$A$5:$A$300=$A14)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4" s="19">
        <f>IF($A14="","",IF(COUNTIFS(Måned!$A$5:$A$2000,$A14,Måned!$C$5:$C$2000,MONTH(L$5+3))=0,"",MAX(1,MIN(5,SUMIFS(Måned!$H$5:$H$2000,Måned!$A$5:$A$2000,$A14,Måned!$C$5:$C$2000,MONTH(L$5+3))+SUMPRODUCT((Vinduer!$A$5:$A$300=$A14)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4" s="19">
        <f>IF($A14="","",IF(COUNTIFS(Måned!$A$5:$A$2000,$A14,Måned!$C$5:$C$2000,MONTH(M$5+3))=0,"",MAX(1,MIN(5,SUMIFS(Måned!$H$5:$H$2000,Måned!$A$5:$A$2000,$A14,Måned!$C$5:$C$2000,MONTH(M$5+3))+SUMPRODUCT((Vinduer!$A$5:$A$300=$A14)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4" s="19">
        <f>IF($A14="","",IF(COUNTIFS(Måned!$A$5:$A$2000,$A14,Måned!$C$5:$C$2000,MONTH(N$5+3))=0,"",MAX(1,MIN(5,SUMIFS(Måned!$H$5:$H$2000,Måned!$A$5:$A$2000,$A14,Måned!$C$5:$C$2000,MONTH(N$5+3))+SUMPRODUCT((Vinduer!$A$5:$A$300=$A14)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4" s="19">
        <f>IF($A14="","",IF(COUNTIFS(Måned!$A$5:$A$2000,$A14,Måned!$C$5:$C$2000,MONTH(O$5+3))=0,"",MAX(1,MIN(5,SUMIFS(Måned!$H$5:$H$2000,Måned!$A$5:$A$2000,$A14,Måned!$C$5:$C$2000,MONTH(O$5+3))+SUMPRODUCT((Vinduer!$A$5:$A$300=$A14)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4" s="19">
        <f>IF($A14="","",IF(COUNTIFS(Måned!$A$5:$A$2000,$A14,Måned!$C$5:$C$2000,MONTH(P$5+3))=0,"",MAX(1,MIN(5,SUMIFS(Måned!$H$5:$H$2000,Måned!$A$5:$A$2000,$A14,Måned!$C$5:$C$2000,MONTH(P$5+3))+SUMPRODUCT((Vinduer!$A$5:$A$300=$A14)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4" s="19">
        <f>IF($A14="","",IF(COUNTIFS(Måned!$A$5:$A$2000,$A14,Måned!$C$5:$C$2000,MONTH(Q$5+3))=0,"",MAX(1,MIN(5,SUMIFS(Måned!$H$5:$H$2000,Måned!$A$5:$A$2000,$A14,Måned!$C$5:$C$2000,MONTH(Q$5+3))+SUMPRODUCT((Vinduer!$A$5:$A$300=$A14)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4" s="19">
        <f>IF($A14="","",IF(COUNTIFS(Måned!$A$5:$A$2000,$A14,Måned!$C$5:$C$2000,MONTH(R$5+3))=0,"",MAX(1,MIN(5,SUMIFS(Måned!$H$5:$H$2000,Måned!$A$5:$A$2000,$A14,Måned!$C$5:$C$2000,MONTH(R$5+3))+SUMPRODUCT((Vinduer!$A$5:$A$300=$A14)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4" s="19">
        <f>IF($A14="","",IF(COUNTIFS(Måned!$A$5:$A$2000,$A14,Måned!$C$5:$C$2000,MONTH(S$5+3))=0,"",MAX(1,MIN(5,SUMIFS(Måned!$H$5:$H$2000,Måned!$A$5:$A$2000,$A14,Måned!$C$5:$C$2000,MONTH(S$5+3))+SUMPRODUCT((Vinduer!$A$5:$A$300=$A14)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4" s="19">
        <f>IF($A14="","",IF(COUNTIFS(Måned!$A$5:$A$2000,$A14,Måned!$C$5:$C$2000,MONTH(T$5+3))=0,"",MAX(1,MIN(5,SUMIFS(Måned!$H$5:$H$2000,Måned!$A$5:$A$2000,$A14,Måned!$C$5:$C$2000,MONTH(T$5+3))+SUMPRODUCT((Vinduer!$A$5:$A$300=$A14)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4" s="19">
        <f>IF($A14="","",IF(COUNTIFS(Måned!$A$5:$A$2000,$A14,Måned!$C$5:$C$2000,MONTH(U$5+3))=0,"",MAX(1,MIN(5,SUMIFS(Måned!$H$5:$H$2000,Måned!$A$5:$A$2000,$A14,Måned!$C$5:$C$2000,MONTH(U$5+3))+SUMPRODUCT((Vinduer!$A$5:$A$300=$A14)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4" s="19">
        <f>IF($A14="","",IF(COUNTIFS(Måned!$A$5:$A$2000,$A14,Måned!$C$5:$C$2000,MONTH(V$5+3))=0,"",MAX(1,MIN(5,SUMIFS(Måned!$H$5:$H$2000,Måned!$A$5:$A$2000,$A14,Måned!$C$5:$C$2000,MONTH(V$5+3))+SUMPRODUCT((Vinduer!$A$5:$A$300=$A14)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4" s="19">
        <f>IF($A14="","",IF(COUNTIFS(Måned!$A$5:$A$2000,$A14,Måned!$C$5:$C$2000,MONTH(W$5+3))=0,"",MAX(1,MIN(5,SUMIFS(Måned!$H$5:$H$2000,Måned!$A$5:$A$2000,$A14,Måned!$C$5:$C$2000,MONTH(W$5+3))+SUMPRODUCT((Vinduer!$A$5:$A$300=$A14)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4" s="19">
        <f>IF($A14="","",IF(COUNTIFS(Måned!$A$5:$A$2000,$A14,Måned!$C$5:$C$2000,MONTH(X$5+3))=0,"",MAX(1,MIN(5,SUMIFS(Måned!$H$5:$H$2000,Måned!$A$5:$A$2000,$A14,Måned!$C$5:$C$2000,MONTH(X$5+3))+SUMPRODUCT((Vinduer!$A$5:$A$300=$A14)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4" s="19">
        <f>IF($A14="","",IF(COUNTIFS(Måned!$A$5:$A$2000,$A14,Måned!$C$5:$C$2000,MONTH(Y$5+3))=0,"",MAX(1,MIN(5,SUMIFS(Måned!$H$5:$H$2000,Måned!$A$5:$A$2000,$A14,Måned!$C$5:$C$2000,MONTH(Y$5+3))+SUMPRODUCT((Vinduer!$A$5:$A$300=$A14)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4" s="19">
        <f>IF($A14="","",IF(COUNTIFS(Måned!$A$5:$A$2000,$A14,Måned!$C$5:$C$2000,MONTH(Z$5+3))=0,"",MAX(1,MIN(5,SUMIFS(Måned!$H$5:$H$2000,Måned!$A$5:$A$2000,$A14,Måned!$C$5:$C$2000,MONTH(Z$5+3))+SUMPRODUCT((Vinduer!$A$5:$A$300=$A14)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4" s="19">
        <f>IF($A14="","",IF(COUNTIFS(Måned!$A$5:$A$2000,$A14,Måned!$C$5:$C$2000,MONTH(AA$5+3))=0,"",MAX(1,MIN(5,SUMIFS(Måned!$H$5:$H$2000,Måned!$A$5:$A$2000,$A14,Måned!$C$5:$C$2000,MONTH(AA$5+3))+SUMPRODUCT((Vinduer!$A$5:$A$300=$A14)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4" s="19">
        <f>IF($A14="","",IF(COUNTIFS(Måned!$A$5:$A$2000,$A14,Måned!$C$5:$C$2000,MONTH(AB$5+3))=0,"",MAX(1,MIN(5,SUMIFS(Måned!$H$5:$H$2000,Måned!$A$5:$A$2000,$A14,Måned!$C$5:$C$2000,MONTH(AB$5+3))+SUMPRODUCT((Vinduer!$A$5:$A$300=$A14)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4" s="19">
        <f>IF($A14="","",IF(COUNTIFS(Måned!$A$5:$A$2000,$A14,Måned!$C$5:$C$2000,MONTH(AC$5+3))=0,"",MAX(1,MIN(5,SUMIFS(Måned!$H$5:$H$2000,Måned!$A$5:$A$2000,$A14,Måned!$C$5:$C$2000,MONTH(AC$5+3))+SUMPRODUCT((Vinduer!$A$5:$A$300=$A14)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4" s="19">
        <f>IF($A14="","",IF(COUNTIFS(Måned!$A$5:$A$2000,$A14,Måned!$C$5:$C$2000,MONTH(AD$5+3))=0,"",MAX(1,MIN(5,SUMIFS(Måned!$H$5:$H$2000,Måned!$A$5:$A$2000,$A14,Måned!$C$5:$C$2000,MONTH(AD$5+3))+SUMPRODUCT((Vinduer!$A$5:$A$300=$A14)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4" s="19">
        <f>IF($A14="","",IF(COUNTIFS(Måned!$A$5:$A$2000,$A14,Måned!$C$5:$C$2000,MONTH(AE$5+3))=0,"",MAX(1,MIN(5,SUMIFS(Måned!$H$5:$H$2000,Måned!$A$5:$A$2000,$A14,Måned!$C$5:$C$2000,MONTH(AE$5+3))+SUMPRODUCT((Vinduer!$A$5:$A$300=$A14)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4" s="19">
        <f>IF($A14="","",IF(COUNTIFS(Måned!$A$5:$A$2000,$A14,Måned!$C$5:$C$2000,MONTH(AF$5+3))=0,"",MAX(1,MIN(5,SUMIFS(Måned!$H$5:$H$2000,Måned!$A$5:$A$2000,$A14,Måned!$C$5:$C$2000,MONTH(AF$5+3))+SUMPRODUCT((Vinduer!$A$5:$A$300=$A14)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4" s="19">
        <f>IF($A14="","",IF(COUNTIFS(Måned!$A$5:$A$2000,$A14,Måned!$C$5:$C$2000,MONTH(AG$5+3))=0,"",MAX(1,MIN(5,SUMIFS(Måned!$H$5:$H$2000,Måned!$A$5:$A$2000,$A14,Måned!$C$5:$C$2000,MONTH(AG$5+3))+SUMPRODUCT((Vinduer!$A$5:$A$300=$A14)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4" s="19">
        <f>IF($A14="","",IF(COUNTIFS(Måned!$A$5:$A$2000,$A14,Måned!$C$5:$C$2000,MONTH(AH$5+3))=0,"",MAX(1,MIN(5,SUMIFS(Måned!$H$5:$H$2000,Måned!$A$5:$A$2000,$A14,Måned!$C$5:$C$2000,MONTH(AH$5+3))+SUMPRODUCT((Vinduer!$A$5:$A$300=$A14)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4" s="19">
        <f>IF($A14="","",IF(COUNTIFS(Måned!$A$5:$A$2000,$A14,Måned!$C$5:$C$2000,MONTH(AI$5+3))=0,"",MAX(1,MIN(5,SUMIFS(Måned!$H$5:$H$2000,Måned!$A$5:$A$2000,$A14,Måned!$C$5:$C$2000,MONTH(AI$5+3))+SUMPRODUCT((Vinduer!$A$5:$A$300=$A14)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4" s="19">
        <f>IF($A14="","",IF(COUNTIFS(Måned!$A$5:$A$2000,$A14,Måned!$C$5:$C$2000,MONTH(AJ$5+3))=0,"",MAX(1,MIN(5,SUMIFS(Måned!$H$5:$H$2000,Måned!$A$5:$A$2000,$A14,Måned!$C$5:$C$2000,MONTH(AJ$5+3))+SUMPRODUCT((Vinduer!$A$5:$A$300=$A14)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4" s="19">
        <f>IF($A14="","",IF(COUNTIFS(Måned!$A$5:$A$2000,$A14,Måned!$C$5:$C$2000,MONTH(AK$5+3))=0,"",MAX(1,MIN(5,SUMIFS(Måned!$H$5:$H$2000,Måned!$A$5:$A$2000,$A14,Måned!$C$5:$C$2000,MONTH(AK$5+3))+SUMPRODUCT((Vinduer!$A$5:$A$300=$A14)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4" s="19">
        <f>IF($A14="","",IF(COUNTIFS(Måned!$A$5:$A$2000,$A14,Måned!$C$5:$C$2000,MONTH(AL$5+3))=0,"",MAX(1,MIN(5,SUMIFS(Måned!$H$5:$H$2000,Måned!$A$5:$A$2000,$A14,Måned!$C$5:$C$2000,MONTH(AL$5+3))+SUMPRODUCT((Vinduer!$A$5:$A$300=$A14)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4" s="19">
        <f>IF($A14="","",IF(COUNTIFS(Måned!$A$5:$A$2000,$A14,Måned!$C$5:$C$2000,MONTH(AM$5+3))=0,"",MAX(1,MIN(5,SUMIFS(Måned!$H$5:$H$2000,Måned!$A$5:$A$2000,$A14,Måned!$C$5:$C$2000,MONTH(AM$5+3))+SUMPRODUCT((Vinduer!$A$5:$A$300=$A14)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4" s="19">
        <f>IF($A14="","",IF(COUNTIFS(Måned!$A$5:$A$2000,$A14,Måned!$C$5:$C$2000,MONTH(AN$5+3))=0,"",MAX(1,MIN(5,SUMIFS(Måned!$H$5:$H$2000,Måned!$A$5:$A$2000,$A14,Måned!$C$5:$C$2000,MONTH(AN$5+3))+SUMPRODUCT((Vinduer!$A$5:$A$300=$A14)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4" s="19">
        <f>IF($A14="","",IF(COUNTIFS(Måned!$A$5:$A$2000,$A14,Måned!$C$5:$C$2000,MONTH(AO$5+3))=0,"",MAX(1,MIN(5,SUMIFS(Måned!$H$5:$H$2000,Måned!$A$5:$A$2000,$A14,Måned!$C$5:$C$2000,MONTH(AO$5+3))+SUMPRODUCT((Vinduer!$A$5:$A$300=$A14)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4" s="19">
        <f>IF($A14="","",IF(COUNTIFS(Måned!$A$5:$A$2000,$A14,Måned!$C$5:$C$2000,MONTH(AP$5+3))=0,"",MAX(1,MIN(5,SUMIFS(Måned!$H$5:$H$2000,Måned!$A$5:$A$2000,$A14,Måned!$C$5:$C$2000,MONTH(AP$5+3))+SUMPRODUCT((Vinduer!$A$5:$A$300=$A14)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4" s="19">
        <f>IF($A14="","",IF(COUNTIFS(Måned!$A$5:$A$2000,$A14,Måned!$C$5:$C$2000,MONTH(AQ$5+3))=0,"",MAX(1,MIN(5,SUMIFS(Måned!$H$5:$H$2000,Måned!$A$5:$A$2000,$A14,Måned!$C$5:$C$2000,MONTH(AQ$5+3))+SUMPRODUCT((Vinduer!$A$5:$A$300=$A14)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4" s="19">
        <f>IF($A14="","",IF(COUNTIFS(Måned!$A$5:$A$2000,$A14,Måned!$C$5:$C$2000,MONTH(AR$5+3))=0,"",MAX(1,MIN(5,SUMIFS(Måned!$H$5:$H$2000,Måned!$A$5:$A$2000,$A14,Måned!$C$5:$C$2000,MONTH(AR$5+3))+SUMPRODUCT((Vinduer!$A$5:$A$300=$A14)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4" s="19">
        <f>IF($A14="","",IF(COUNTIFS(Måned!$A$5:$A$2000,$A14,Måned!$C$5:$C$2000,MONTH(AS$5+3))=0,"",MAX(1,MIN(5,SUMIFS(Måned!$H$5:$H$2000,Måned!$A$5:$A$2000,$A14,Måned!$C$5:$C$2000,MONTH(AS$5+3))+SUMPRODUCT((Vinduer!$A$5:$A$300=$A14)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4" s="19">
        <f>IF($A14="","",IF(COUNTIFS(Måned!$A$5:$A$2000,$A14,Måned!$C$5:$C$2000,MONTH(AT$5+3))=0,"",MAX(1,MIN(5,SUMIFS(Måned!$H$5:$H$2000,Måned!$A$5:$A$2000,$A14,Måned!$C$5:$C$2000,MONTH(AT$5+3))+SUMPRODUCT((Vinduer!$A$5:$A$300=$A14)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4" s="19">
        <f>IF($A14="","",IF(COUNTIFS(Måned!$A$5:$A$2000,$A14,Måned!$C$5:$C$2000,MONTH(AU$5+3))=0,"",MAX(1,MIN(5,SUMIFS(Måned!$H$5:$H$2000,Måned!$A$5:$A$2000,$A14,Måned!$C$5:$C$2000,MONTH(AU$5+3))+SUMPRODUCT((Vinduer!$A$5:$A$300=$A14)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4" s="19">
        <f>IF($A14="","",IF(COUNTIFS(Måned!$A$5:$A$2000,$A14,Måned!$C$5:$C$2000,MONTH(AV$5+3))=0,"",MAX(1,MIN(5,SUMIFS(Måned!$H$5:$H$2000,Måned!$A$5:$A$2000,$A14,Måned!$C$5:$C$2000,MONTH(AV$5+3))+SUMPRODUCT((Vinduer!$A$5:$A$300=$A14)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4" s="19">
        <f>IF($A14="","",IF(COUNTIFS(Måned!$A$5:$A$2000,$A14,Måned!$C$5:$C$2000,MONTH(AW$5+3))=0,"",MAX(1,MIN(5,SUMIFS(Måned!$H$5:$H$2000,Måned!$A$5:$A$2000,$A14,Måned!$C$5:$C$2000,MONTH(AW$5+3))+SUMPRODUCT((Vinduer!$A$5:$A$300=$A14)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4" s="19">
        <f>IF($A14="","",IF(COUNTIFS(Måned!$A$5:$A$2000,$A14,Måned!$C$5:$C$2000,MONTH(AX$5+3))=0,"",MAX(1,MIN(5,SUMIFS(Måned!$H$5:$H$2000,Måned!$A$5:$A$2000,$A14,Måned!$C$5:$C$2000,MONTH(AX$5+3))+SUMPRODUCT((Vinduer!$A$5:$A$300=$A14)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4" s="19">
        <f>IF($A14="","",IF(COUNTIFS(Måned!$A$5:$A$2000,$A14,Måned!$C$5:$C$2000,MONTH(AY$5+3))=0,"",MAX(1,MIN(5,SUMIFS(Måned!$H$5:$H$2000,Måned!$A$5:$A$2000,$A14,Måned!$C$5:$C$2000,MONTH(AY$5+3))+SUMPRODUCT((Vinduer!$A$5:$A$300=$A14)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4" s="19">
        <f>IF($A14="","",IF(COUNTIFS(Måned!$A$5:$A$2000,$A14,Måned!$C$5:$C$2000,MONTH(AZ$5+3))=0,"",MAX(1,MIN(5,SUMIFS(Måned!$H$5:$H$2000,Måned!$A$5:$A$2000,$A14,Måned!$C$5:$C$2000,MONTH(AZ$5+3))+SUMPRODUCT((Vinduer!$A$5:$A$300=$A14)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4" s="19">
        <f>IF($A14="","",IF(COUNTIFS(Måned!$A$5:$A$2000,$A14,Måned!$C$5:$C$2000,MONTH(BA$5+3))=0,"",MAX(1,MIN(5,SUMIFS(Måned!$H$5:$H$2000,Måned!$A$5:$A$2000,$A14,Måned!$C$5:$C$2000,MONTH(BA$5+3))+SUMPRODUCT((Vinduer!$A$5:$A$300=$A14)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4" s="19">
        <f>IF($A14="","",IF(COUNTIFS(Måned!$A$5:$A$2000,$A14,Måned!$C$5:$C$2000,MONTH(BB$5+3))=0,"",MAX(1,MIN(5,SUMIFS(Måned!$H$5:$H$2000,Måned!$A$5:$A$2000,$A14,Måned!$C$5:$C$2000,MONTH(BB$5+3))+SUMPRODUCT((Vinduer!$A$5:$A$300=$A14)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4" s="19">
        <f>IF($A14="","",IF(COUNTIFS(Måned!$A$5:$A$2000,$A14,Måned!$C$5:$C$2000,MONTH(BC$5+3))=0,"",MAX(1,MIN(5,SUMIFS(Måned!$H$5:$H$2000,Måned!$A$5:$A$2000,$A14,Måned!$C$5:$C$2000,MONTH(BC$5+3))+SUMPRODUCT((Vinduer!$A$5:$A$300=$A14)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4" s="19">
        <f>IF($A14="","",IF(COUNTIFS(Måned!$A$5:$A$2000,$A14,Måned!$C$5:$C$2000,MONTH(BD$5+3))=0,"",MAX(1,MIN(5,SUMIFS(Måned!$H$5:$H$2000,Måned!$A$5:$A$2000,$A14,Måned!$C$5:$C$2000,MONTH(BD$5+3))+SUMPRODUCT((Vinduer!$A$5:$A$300=$A14)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4" s="19">
        <f>IF($A14="","",IF(COUNTIFS(Måned!$A$5:$A$2000,$A14,Måned!$C$5:$C$2000,MONTH(BE$5+3))=0,"",MAX(1,MIN(5,SUMIFS(Måned!$H$5:$H$2000,Måned!$A$5:$A$2000,$A14,Måned!$C$5:$C$2000,MONTH(BE$5+3))+SUMPRODUCT((Vinduer!$A$5:$A$300=$A14)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5">
      <c r="A15" s="5">
        <f>IF(Destinasjoner!A11="","",Destinasjoner!A11)</f>
        <v/>
      </c>
      <c r="B15" s="5">
        <f>IF(A15="","",Destinasjoner!E11)</f>
        <v/>
      </c>
      <c r="C15" s="5">
        <f>IF(A15="","",Destinasjoner!B11)</f>
        <v/>
      </c>
      <c r="D15" s="17">
        <f>IFERROR(SUMIFS(F15:BE15,$F$7:$BE$7,"x")/COUNTIFS($F$7:$BE$7,"x",F15:BE15,"&gt;0"),"")</f>
        <v/>
      </c>
      <c r="E15" s="18">
        <f>IF(D15="","",_xlfn.MINIFS(F15:BE15,$F$7:$BE$7,"x",F15:BE15,"&gt;0"))</f>
        <v/>
      </c>
      <c r="F15" s="19">
        <f>IF($A15="","",IF(COUNTIFS(Måned!$A$5:$A$2000,$A15,Måned!$C$5:$C$2000,MONTH(F$5+3))=0,"",MAX(1,MIN(5,SUMIFS(Måned!$H$5:$H$2000,Måned!$A$5:$A$2000,$A15,Måned!$C$5:$C$2000,MONTH(F$5+3))+SUMPRODUCT((Vinduer!$A$5:$A$300=$A15)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5" s="19">
        <f>IF($A15="","",IF(COUNTIFS(Måned!$A$5:$A$2000,$A15,Måned!$C$5:$C$2000,MONTH(G$5+3))=0,"",MAX(1,MIN(5,SUMIFS(Måned!$H$5:$H$2000,Måned!$A$5:$A$2000,$A15,Måned!$C$5:$C$2000,MONTH(G$5+3))+SUMPRODUCT((Vinduer!$A$5:$A$300=$A15)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5" s="19">
        <f>IF($A15="","",IF(COUNTIFS(Måned!$A$5:$A$2000,$A15,Måned!$C$5:$C$2000,MONTH(H$5+3))=0,"",MAX(1,MIN(5,SUMIFS(Måned!$H$5:$H$2000,Måned!$A$5:$A$2000,$A15,Måned!$C$5:$C$2000,MONTH(H$5+3))+SUMPRODUCT((Vinduer!$A$5:$A$300=$A15)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5" s="19">
        <f>IF($A15="","",IF(COUNTIFS(Måned!$A$5:$A$2000,$A15,Måned!$C$5:$C$2000,MONTH(I$5+3))=0,"",MAX(1,MIN(5,SUMIFS(Måned!$H$5:$H$2000,Måned!$A$5:$A$2000,$A15,Måned!$C$5:$C$2000,MONTH(I$5+3))+SUMPRODUCT((Vinduer!$A$5:$A$300=$A15)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5" s="19">
        <f>IF($A15="","",IF(COUNTIFS(Måned!$A$5:$A$2000,$A15,Måned!$C$5:$C$2000,MONTH(J$5+3))=0,"",MAX(1,MIN(5,SUMIFS(Måned!$H$5:$H$2000,Måned!$A$5:$A$2000,$A15,Måned!$C$5:$C$2000,MONTH(J$5+3))+SUMPRODUCT((Vinduer!$A$5:$A$300=$A15)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5" s="19">
        <f>IF($A15="","",IF(COUNTIFS(Måned!$A$5:$A$2000,$A15,Måned!$C$5:$C$2000,MONTH(K$5+3))=0,"",MAX(1,MIN(5,SUMIFS(Måned!$H$5:$H$2000,Måned!$A$5:$A$2000,$A15,Måned!$C$5:$C$2000,MONTH(K$5+3))+SUMPRODUCT((Vinduer!$A$5:$A$300=$A15)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5" s="19">
        <f>IF($A15="","",IF(COUNTIFS(Måned!$A$5:$A$2000,$A15,Måned!$C$5:$C$2000,MONTH(L$5+3))=0,"",MAX(1,MIN(5,SUMIFS(Måned!$H$5:$H$2000,Måned!$A$5:$A$2000,$A15,Måned!$C$5:$C$2000,MONTH(L$5+3))+SUMPRODUCT((Vinduer!$A$5:$A$300=$A15)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5" s="19">
        <f>IF($A15="","",IF(COUNTIFS(Måned!$A$5:$A$2000,$A15,Måned!$C$5:$C$2000,MONTH(M$5+3))=0,"",MAX(1,MIN(5,SUMIFS(Måned!$H$5:$H$2000,Måned!$A$5:$A$2000,$A15,Måned!$C$5:$C$2000,MONTH(M$5+3))+SUMPRODUCT((Vinduer!$A$5:$A$300=$A15)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5" s="19">
        <f>IF($A15="","",IF(COUNTIFS(Måned!$A$5:$A$2000,$A15,Måned!$C$5:$C$2000,MONTH(N$5+3))=0,"",MAX(1,MIN(5,SUMIFS(Måned!$H$5:$H$2000,Måned!$A$5:$A$2000,$A15,Måned!$C$5:$C$2000,MONTH(N$5+3))+SUMPRODUCT((Vinduer!$A$5:$A$300=$A15)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5" s="19">
        <f>IF($A15="","",IF(COUNTIFS(Måned!$A$5:$A$2000,$A15,Måned!$C$5:$C$2000,MONTH(O$5+3))=0,"",MAX(1,MIN(5,SUMIFS(Måned!$H$5:$H$2000,Måned!$A$5:$A$2000,$A15,Måned!$C$5:$C$2000,MONTH(O$5+3))+SUMPRODUCT((Vinduer!$A$5:$A$300=$A15)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5" s="19">
        <f>IF($A15="","",IF(COUNTIFS(Måned!$A$5:$A$2000,$A15,Måned!$C$5:$C$2000,MONTH(P$5+3))=0,"",MAX(1,MIN(5,SUMIFS(Måned!$H$5:$H$2000,Måned!$A$5:$A$2000,$A15,Måned!$C$5:$C$2000,MONTH(P$5+3))+SUMPRODUCT((Vinduer!$A$5:$A$300=$A15)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5" s="19">
        <f>IF($A15="","",IF(COUNTIFS(Måned!$A$5:$A$2000,$A15,Måned!$C$5:$C$2000,MONTH(Q$5+3))=0,"",MAX(1,MIN(5,SUMIFS(Måned!$H$5:$H$2000,Måned!$A$5:$A$2000,$A15,Måned!$C$5:$C$2000,MONTH(Q$5+3))+SUMPRODUCT((Vinduer!$A$5:$A$300=$A15)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5" s="19">
        <f>IF($A15="","",IF(COUNTIFS(Måned!$A$5:$A$2000,$A15,Måned!$C$5:$C$2000,MONTH(R$5+3))=0,"",MAX(1,MIN(5,SUMIFS(Måned!$H$5:$H$2000,Måned!$A$5:$A$2000,$A15,Måned!$C$5:$C$2000,MONTH(R$5+3))+SUMPRODUCT((Vinduer!$A$5:$A$300=$A15)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5" s="19">
        <f>IF($A15="","",IF(COUNTIFS(Måned!$A$5:$A$2000,$A15,Måned!$C$5:$C$2000,MONTH(S$5+3))=0,"",MAX(1,MIN(5,SUMIFS(Måned!$H$5:$H$2000,Måned!$A$5:$A$2000,$A15,Måned!$C$5:$C$2000,MONTH(S$5+3))+SUMPRODUCT((Vinduer!$A$5:$A$300=$A15)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5" s="19">
        <f>IF($A15="","",IF(COUNTIFS(Måned!$A$5:$A$2000,$A15,Måned!$C$5:$C$2000,MONTH(T$5+3))=0,"",MAX(1,MIN(5,SUMIFS(Måned!$H$5:$H$2000,Måned!$A$5:$A$2000,$A15,Måned!$C$5:$C$2000,MONTH(T$5+3))+SUMPRODUCT((Vinduer!$A$5:$A$300=$A15)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5" s="19">
        <f>IF($A15="","",IF(COUNTIFS(Måned!$A$5:$A$2000,$A15,Måned!$C$5:$C$2000,MONTH(U$5+3))=0,"",MAX(1,MIN(5,SUMIFS(Måned!$H$5:$H$2000,Måned!$A$5:$A$2000,$A15,Måned!$C$5:$C$2000,MONTH(U$5+3))+SUMPRODUCT((Vinduer!$A$5:$A$300=$A15)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5" s="19">
        <f>IF($A15="","",IF(COUNTIFS(Måned!$A$5:$A$2000,$A15,Måned!$C$5:$C$2000,MONTH(V$5+3))=0,"",MAX(1,MIN(5,SUMIFS(Måned!$H$5:$H$2000,Måned!$A$5:$A$2000,$A15,Måned!$C$5:$C$2000,MONTH(V$5+3))+SUMPRODUCT((Vinduer!$A$5:$A$300=$A15)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5" s="19">
        <f>IF($A15="","",IF(COUNTIFS(Måned!$A$5:$A$2000,$A15,Måned!$C$5:$C$2000,MONTH(W$5+3))=0,"",MAX(1,MIN(5,SUMIFS(Måned!$H$5:$H$2000,Måned!$A$5:$A$2000,$A15,Måned!$C$5:$C$2000,MONTH(W$5+3))+SUMPRODUCT((Vinduer!$A$5:$A$300=$A15)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5" s="19">
        <f>IF($A15="","",IF(COUNTIFS(Måned!$A$5:$A$2000,$A15,Måned!$C$5:$C$2000,MONTH(X$5+3))=0,"",MAX(1,MIN(5,SUMIFS(Måned!$H$5:$H$2000,Måned!$A$5:$A$2000,$A15,Måned!$C$5:$C$2000,MONTH(X$5+3))+SUMPRODUCT((Vinduer!$A$5:$A$300=$A15)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5" s="19">
        <f>IF($A15="","",IF(COUNTIFS(Måned!$A$5:$A$2000,$A15,Måned!$C$5:$C$2000,MONTH(Y$5+3))=0,"",MAX(1,MIN(5,SUMIFS(Måned!$H$5:$H$2000,Måned!$A$5:$A$2000,$A15,Måned!$C$5:$C$2000,MONTH(Y$5+3))+SUMPRODUCT((Vinduer!$A$5:$A$300=$A15)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5" s="19">
        <f>IF($A15="","",IF(COUNTIFS(Måned!$A$5:$A$2000,$A15,Måned!$C$5:$C$2000,MONTH(Z$5+3))=0,"",MAX(1,MIN(5,SUMIFS(Måned!$H$5:$H$2000,Måned!$A$5:$A$2000,$A15,Måned!$C$5:$C$2000,MONTH(Z$5+3))+SUMPRODUCT((Vinduer!$A$5:$A$300=$A15)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5" s="19">
        <f>IF($A15="","",IF(COUNTIFS(Måned!$A$5:$A$2000,$A15,Måned!$C$5:$C$2000,MONTH(AA$5+3))=0,"",MAX(1,MIN(5,SUMIFS(Måned!$H$5:$H$2000,Måned!$A$5:$A$2000,$A15,Måned!$C$5:$C$2000,MONTH(AA$5+3))+SUMPRODUCT((Vinduer!$A$5:$A$300=$A15)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5" s="19">
        <f>IF($A15="","",IF(COUNTIFS(Måned!$A$5:$A$2000,$A15,Måned!$C$5:$C$2000,MONTH(AB$5+3))=0,"",MAX(1,MIN(5,SUMIFS(Måned!$H$5:$H$2000,Måned!$A$5:$A$2000,$A15,Måned!$C$5:$C$2000,MONTH(AB$5+3))+SUMPRODUCT((Vinduer!$A$5:$A$300=$A15)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5" s="19">
        <f>IF($A15="","",IF(COUNTIFS(Måned!$A$5:$A$2000,$A15,Måned!$C$5:$C$2000,MONTH(AC$5+3))=0,"",MAX(1,MIN(5,SUMIFS(Måned!$H$5:$H$2000,Måned!$A$5:$A$2000,$A15,Måned!$C$5:$C$2000,MONTH(AC$5+3))+SUMPRODUCT((Vinduer!$A$5:$A$300=$A15)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5" s="19">
        <f>IF($A15="","",IF(COUNTIFS(Måned!$A$5:$A$2000,$A15,Måned!$C$5:$C$2000,MONTH(AD$5+3))=0,"",MAX(1,MIN(5,SUMIFS(Måned!$H$5:$H$2000,Måned!$A$5:$A$2000,$A15,Måned!$C$5:$C$2000,MONTH(AD$5+3))+SUMPRODUCT((Vinduer!$A$5:$A$300=$A15)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5" s="19">
        <f>IF($A15="","",IF(COUNTIFS(Måned!$A$5:$A$2000,$A15,Måned!$C$5:$C$2000,MONTH(AE$5+3))=0,"",MAX(1,MIN(5,SUMIFS(Måned!$H$5:$H$2000,Måned!$A$5:$A$2000,$A15,Måned!$C$5:$C$2000,MONTH(AE$5+3))+SUMPRODUCT((Vinduer!$A$5:$A$300=$A15)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5" s="19">
        <f>IF($A15="","",IF(COUNTIFS(Måned!$A$5:$A$2000,$A15,Måned!$C$5:$C$2000,MONTH(AF$5+3))=0,"",MAX(1,MIN(5,SUMIFS(Måned!$H$5:$H$2000,Måned!$A$5:$A$2000,$A15,Måned!$C$5:$C$2000,MONTH(AF$5+3))+SUMPRODUCT((Vinduer!$A$5:$A$300=$A15)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5" s="19">
        <f>IF($A15="","",IF(COUNTIFS(Måned!$A$5:$A$2000,$A15,Måned!$C$5:$C$2000,MONTH(AG$5+3))=0,"",MAX(1,MIN(5,SUMIFS(Måned!$H$5:$H$2000,Måned!$A$5:$A$2000,$A15,Måned!$C$5:$C$2000,MONTH(AG$5+3))+SUMPRODUCT((Vinduer!$A$5:$A$300=$A15)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5" s="19">
        <f>IF($A15="","",IF(COUNTIFS(Måned!$A$5:$A$2000,$A15,Måned!$C$5:$C$2000,MONTH(AH$5+3))=0,"",MAX(1,MIN(5,SUMIFS(Måned!$H$5:$H$2000,Måned!$A$5:$A$2000,$A15,Måned!$C$5:$C$2000,MONTH(AH$5+3))+SUMPRODUCT((Vinduer!$A$5:$A$300=$A15)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5" s="19">
        <f>IF($A15="","",IF(COUNTIFS(Måned!$A$5:$A$2000,$A15,Måned!$C$5:$C$2000,MONTH(AI$5+3))=0,"",MAX(1,MIN(5,SUMIFS(Måned!$H$5:$H$2000,Måned!$A$5:$A$2000,$A15,Måned!$C$5:$C$2000,MONTH(AI$5+3))+SUMPRODUCT((Vinduer!$A$5:$A$300=$A15)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5" s="19">
        <f>IF($A15="","",IF(COUNTIFS(Måned!$A$5:$A$2000,$A15,Måned!$C$5:$C$2000,MONTH(AJ$5+3))=0,"",MAX(1,MIN(5,SUMIFS(Måned!$H$5:$H$2000,Måned!$A$5:$A$2000,$A15,Måned!$C$5:$C$2000,MONTH(AJ$5+3))+SUMPRODUCT((Vinduer!$A$5:$A$300=$A15)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5" s="19">
        <f>IF($A15="","",IF(COUNTIFS(Måned!$A$5:$A$2000,$A15,Måned!$C$5:$C$2000,MONTH(AK$5+3))=0,"",MAX(1,MIN(5,SUMIFS(Måned!$H$5:$H$2000,Måned!$A$5:$A$2000,$A15,Måned!$C$5:$C$2000,MONTH(AK$5+3))+SUMPRODUCT((Vinduer!$A$5:$A$300=$A15)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5" s="19">
        <f>IF($A15="","",IF(COUNTIFS(Måned!$A$5:$A$2000,$A15,Måned!$C$5:$C$2000,MONTH(AL$5+3))=0,"",MAX(1,MIN(5,SUMIFS(Måned!$H$5:$H$2000,Måned!$A$5:$A$2000,$A15,Måned!$C$5:$C$2000,MONTH(AL$5+3))+SUMPRODUCT((Vinduer!$A$5:$A$300=$A15)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5" s="19">
        <f>IF($A15="","",IF(COUNTIFS(Måned!$A$5:$A$2000,$A15,Måned!$C$5:$C$2000,MONTH(AM$5+3))=0,"",MAX(1,MIN(5,SUMIFS(Måned!$H$5:$H$2000,Måned!$A$5:$A$2000,$A15,Måned!$C$5:$C$2000,MONTH(AM$5+3))+SUMPRODUCT((Vinduer!$A$5:$A$300=$A15)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5" s="19">
        <f>IF($A15="","",IF(COUNTIFS(Måned!$A$5:$A$2000,$A15,Måned!$C$5:$C$2000,MONTH(AN$5+3))=0,"",MAX(1,MIN(5,SUMIFS(Måned!$H$5:$H$2000,Måned!$A$5:$A$2000,$A15,Måned!$C$5:$C$2000,MONTH(AN$5+3))+SUMPRODUCT((Vinduer!$A$5:$A$300=$A15)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5" s="19">
        <f>IF($A15="","",IF(COUNTIFS(Måned!$A$5:$A$2000,$A15,Måned!$C$5:$C$2000,MONTH(AO$5+3))=0,"",MAX(1,MIN(5,SUMIFS(Måned!$H$5:$H$2000,Måned!$A$5:$A$2000,$A15,Måned!$C$5:$C$2000,MONTH(AO$5+3))+SUMPRODUCT((Vinduer!$A$5:$A$300=$A15)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5" s="19">
        <f>IF($A15="","",IF(COUNTIFS(Måned!$A$5:$A$2000,$A15,Måned!$C$5:$C$2000,MONTH(AP$5+3))=0,"",MAX(1,MIN(5,SUMIFS(Måned!$H$5:$H$2000,Måned!$A$5:$A$2000,$A15,Måned!$C$5:$C$2000,MONTH(AP$5+3))+SUMPRODUCT((Vinduer!$A$5:$A$300=$A15)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5" s="19">
        <f>IF($A15="","",IF(COUNTIFS(Måned!$A$5:$A$2000,$A15,Måned!$C$5:$C$2000,MONTH(AQ$5+3))=0,"",MAX(1,MIN(5,SUMIFS(Måned!$H$5:$H$2000,Måned!$A$5:$A$2000,$A15,Måned!$C$5:$C$2000,MONTH(AQ$5+3))+SUMPRODUCT((Vinduer!$A$5:$A$300=$A15)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5" s="19">
        <f>IF($A15="","",IF(COUNTIFS(Måned!$A$5:$A$2000,$A15,Måned!$C$5:$C$2000,MONTH(AR$5+3))=0,"",MAX(1,MIN(5,SUMIFS(Måned!$H$5:$H$2000,Måned!$A$5:$A$2000,$A15,Måned!$C$5:$C$2000,MONTH(AR$5+3))+SUMPRODUCT((Vinduer!$A$5:$A$300=$A15)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5" s="19">
        <f>IF($A15="","",IF(COUNTIFS(Måned!$A$5:$A$2000,$A15,Måned!$C$5:$C$2000,MONTH(AS$5+3))=0,"",MAX(1,MIN(5,SUMIFS(Måned!$H$5:$H$2000,Måned!$A$5:$A$2000,$A15,Måned!$C$5:$C$2000,MONTH(AS$5+3))+SUMPRODUCT((Vinduer!$A$5:$A$300=$A15)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5" s="19">
        <f>IF($A15="","",IF(COUNTIFS(Måned!$A$5:$A$2000,$A15,Måned!$C$5:$C$2000,MONTH(AT$5+3))=0,"",MAX(1,MIN(5,SUMIFS(Måned!$H$5:$H$2000,Måned!$A$5:$A$2000,$A15,Måned!$C$5:$C$2000,MONTH(AT$5+3))+SUMPRODUCT((Vinduer!$A$5:$A$300=$A15)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5" s="19">
        <f>IF($A15="","",IF(COUNTIFS(Måned!$A$5:$A$2000,$A15,Måned!$C$5:$C$2000,MONTH(AU$5+3))=0,"",MAX(1,MIN(5,SUMIFS(Måned!$H$5:$H$2000,Måned!$A$5:$A$2000,$A15,Måned!$C$5:$C$2000,MONTH(AU$5+3))+SUMPRODUCT((Vinduer!$A$5:$A$300=$A15)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5" s="19">
        <f>IF($A15="","",IF(COUNTIFS(Måned!$A$5:$A$2000,$A15,Måned!$C$5:$C$2000,MONTH(AV$5+3))=0,"",MAX(1,MIN(5,SUMIFS(Måned!$H$5:$H$2000,Måned!$A$5:$A$2000,$A15,Måned!$C$5:$C$2000,MONTH(AV$5+3))+SUMPRODUCT((Vinduer!$A$5:$A$300=$A15)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5" s="19">
        <f>IF($A15="","",IF(COUNTIFS(Måned!$A$5:$A$2000,$A15,Måned!$C$5:$C$2000,MONTH(AW$5+3))=0,"",MAX(1,MIN(5,SUMIFS(Måned!$H$5:$H$2000,Måned!$A$5:$A$2000,$A15,Måned!$C$5:$C$2000,MONTH(AW$5+3))+SUMPRODUCT((Vinduer!$A$5:$A$300=$A15)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5" s="19">
        <f>IF($A15="","",IF(COUNTIFS(Måned!$A$5:$A$2000,$A15,Måned!$C$5:$C$2000,MONTH(AX$5+3))=0,"",MAX(1,MIN(5,SUMIFS(Måned!$H$5:$H$2000,Måned!$A$5:$A$2000,$A15,Måned!$C$5:$C$2000,MONTH(AX$5+3))+SUMPRODUCT((Vinduer!$A$5:$A$300=$A15)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5" s="19">
        <f>IF($A15="","",IF(COUNTIFS(Måned!$A$5:$A$2000,$A15,Måned!$C$5:$C$2000,MONTH(AY$5+3))=0,"",MAX(1,MIN(5,SUMIFS(Måned!$H$5:$H$2000,Måned!$A$5:$A$2000,$A15,Måned!$C$5:$C$2000,MONTH(AY$5+3))+SUMPRODUCT((Vinduer!$A$5:$A$300=$A15)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5" s="19">
        <f>IF($A15="","",IF(COUNTIFS(Måned!$A$5:$A$2000,$A15,Måned!$C$5:$C$2000,MONTH(AZ$5+3))=0,"",MAX(1,MIN(5,SUMIFS(Måned!$H$5:$H$2000,Måned!$A$5:$A$2000,$A15,Måned!$C$5:$C$2000,MONTH(AZ$5+3))+SUMPRODUCT((Vinduer!$A$5:$A$300=$A15)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5" s="19">
        <f>IF($A15="","",IF(COUNTIFS(Måned!$A$5:$A$2000,$A15,Måned!$C$5:$C$2000,MONTH(BA$5+3))=0,"",MAX(1,MIN(5,SUMIFS(Måned!$H$5:$H$2000,Måned!$A$5:$A$2000,$A15,Måned!$C$5:$C$2000,MONTH(BA$5+3))+SUMPRODUCT((Vinduer!$A$5:$A$300=$A15)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5" s="19">
        <f>IF($A15="","",IF(COUNTIFS(Måned!$A$5:$A$2000,$A15,Måned!$C$5:$C$2000,MONTH(BB$5+3))=0,"",MAX(1,MIN(5,SUMIFS(Måned!$H$5:$H$2000,Måned!$A$5:$A$2000,$A15,Måned!$C$5:$C$2000,MONTH(BB$5+3))+SUMPRODUCT((Vinduer!$A$5:$A$300=$A15)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5" s="19">
        <f>IF($A15="","",IF(COUNTIFS(Måned!$A$5:$A$2000,$A15,Måned!$C$5:$C$2000,MONTH(BC$5+3))=0,"",MAX(1,MIN(5,SUMIFS(Måned!$H$5:$H$2000,Måned!$A$5:$A$2000,$A15,Måned!$C$5:$C$2000,MONTH(BC$5+3))+SUMPRODUCT((Vinduer!$A$5:$A$300=$A15)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5" s="19">
        <f>IF($A15="","",IF(COUNTIFS(Måned!$A$5:$A$2000,$A15,Måned!$C$5:$C$2000,MONTH(BD$5+3))=0,"",MAX(1,MIN(5,SUMIFS(Måned!$H$5:$H$2000,Måned!$A$5:$A$2000,$A15,Måned!$C$5:$C$2000,MONTH(BD$5+3))+SUMPRODUCT((Vinduer!$A$5:$A$300=$A15)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5" s="19">
        <f>IF($A15="","",IF(COUNTIFS(Måned!$A$5:$A$2000,$A15,Måned!$C$5:$C$2000,MONTH(BE$5+3))=0,"",MAX(1,MIN(5,SUMIFS(Måned!$H$5:$H$2000,Måned!$A$5:$A$2000,$A15,Måned!$C$5:$C$2000,MONTH(BE$5+3))+SUMPRODUCT((Vinduer!$A$5:$A$300=$A15)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6">
      <c r="A16" s="5">
        <f>IF(Destinasjoner!A12="","",Destinasjoner!A12)</f>
        <v/>
      </c>
      <c r="B16" s="5">
        <f>IF(A16="","",Destinasjoner!E12)</f>
        <v/>
      </c>
      <c r="C16" s="5">
        <f>IF(A16="","",Destinasjoner!B12)</f>
        <v/>
      </c>
      <c r="D16" s="17">
        <f>IFERROR(SUMIFS(F16:BE16,$F$7:$BE$7,"x")/COUNTIFS($F$7:$BE$7,"x",F16:BE16,"&gt;0"),"")</f>
        <v/>
      </c>
      <c r="E16" s="18">
        <f>IF(D16="","",_xlfn.MINIFS(F16:BE16,$F$7:$BE$7,"x",F16:BE16,"&gt;0"))</f>
        <v/>
      </c>
      <c r="F16" s="19">
        <f>IF($A16="","",IF(COUNTIFS(Måned!$A$5:$A$2000,$A16,Måned!$C$5:$C$2000,MONTH(F$5+3))=0,"",MAX(1,MIN(5,SUMIFS(Måned!$H$5:$H$2000,Måned!$A$5:$A$2000,$A16,Måned!$C$5:$C$2000,MONTH(F$5+3))+SUMPRODUCT((Vinduer!$A$5:$A$300=$A16)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6" s="19">
        <f>IF($A16="","",IF(COUNTIFS(Måned!$A$5:$A$2000,$A16,Måned!$C$5:$C$2000,MONTH(G$5+3))=0,"",MAX(1,MIN(5,SUMIFS(Måned!$H$5:$H$2000,Måned!$A$5:$A$2000,$A16,Måned!$C$5:$C$2000,MONTH(G$5+3))+SUMPRODUCT((Vinduer!$A$5:$A$300=$A16)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6" s="19">
        <f>IF($A16="","",IF(COUNTIFS(Måned!$A$5:$A$2000,$A16,Måned!$C$5:$C$2000,MONTH(H$5+3))=0,"",MAX(1,MIN(5,SUMIFS(Måned!$H$5:$H$2000,Måned!$A$5:$A$2000,$A16,Måned!$C$5:$C$2000,MONTH(H$5+3))+SUMPRODUCT((Vinduer!$A$5:$A$300=$A16)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6" s="19">
        <f>IF($A16="","",IF(COUNTIFS(Måned!$A$5:$A$2000,$A16,Måned!$C$5:$C$2000,MONTH(I$5+3))=0,"",MAX(1,MIN(5,SUMIFS(Måned!$H$5:$H$2000,Måned!$A$5:$A$2000,$A16,Måned!$C$5:$C$2000,MONTH(I$5+3))+SUMPRODUCT((Vinduer!$A$5:$A$300=$A16)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6" s="19">
        <f>IF($A16="","",IF(COUNTIFS(Måned!$A$5:$A$2000,$A16,Måned!$C$5:$C$2000,MONTH(J$5+3))=0,"",MAX(1,MIN(5,SUMIFS(Måned!$H$5:$H$2000,Måned!$A$5:$A$2000,$A16,Måned!$C$5:$C$2000,MONTH(J$5+3))+SUMPRODUCT((Vinduer!$A$5:$A$300=$A16)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6" s="19">
        <f>IF($A16="","",IF(COUNTIFS(Måned!$A$5:$A$2000,$A16,Måned!$C$5:$C$2000,MONTH(K$5+3))=0,"",MAX(1,MIN(5,SUMIFS(Måned!$H$5:$H$2000,Måned!$A$5:$A$2000,$A16,Måned!$C$5:$C$2000,MONTH(K$5+3))+SUMPRODUCT((Vinduer!$A$5:$A$300=$A16)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6" s="19">
        <f>IF($A16="","",IF(COUNTIFS(Måned!$A$5:$A$2000,$A16,Måned!$C$5:$C$2000,MONTH(L$5+3))=0,"",MAX(1,MIN(5,SUMIFS(Måned!$H$5:$H$2000,Måned!$A$5:$A$2000,$A16,Måned!$C$5:$C$2000,MONTH(L$5+3))+SUMPRODUCT((Vinduer!$A$5:$A$300=$A16)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6" s="19">
        <f>IF($A16="","",IF(COUNTIFS(Måned!$A$5:$A$2000,$A16,Måned!$C$5:$C$2000,MONTH(M$5+3))=0,"",MAX(1,MIN(5,SUMIFS(Måned!$H$5:$H$2000,Måned!$A$5:$A$2000,$A16,Måned!$C$5:$C$2000,MONTH(M$5+3))+SUMPRODUCT((Vinduer!$A$5:$A$300=$A16)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6" s="19">
        <f>IF($A16="","",IF(COUNTIFS(Måned!$A$5:$A$2000,$A16,Måned!$C$5:$C$2000,MONTH(N$5+3))=0,"",MAX(1,MIN(5,SUMIFS(Måned!$H$5:$H$2000,Måned!$A$5:$A$2000,$A16,Måned!$C$5:$C$2000,MONTH(N$5+3))+SUMPRODUCT((Vinduer!$A$5:$A$300=$A16)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6" s="19">
        <f>IF($A16="","",IF(COUNTIFS(Måned!$A$5:$A$2000,$A16,Måned!$C$5:$C$2000,MONTH(O$5+3))=0,"",MAX(1,MIN(5,SUMIFS(Måned!$H$5:$H$2000,Måned!$A$5:$A$2000,$A16,Måned!$C$5:$C$2000,MONTH(O$5+3))+SUMPRODUCT((Vinduer!$A$5:$A$300=$A16)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6" s="19">
        <f>IF($A16="","",IF(COUNTIFS(Måned!$A$5:$A$2000,$A16,Måned!$C$5:$C$2000,MONTH(P$5+3))=0,"",MAX(1,MIN(5,SUMIFS(Måned!$H$5:$H$2000,Måned!$A$5:$A$2000,$A16,Måned!$C$5:$C$2000,MONTH(P$5+3))+SUMPRODUCT((Vinduer!$A$5:$A$300=$A16)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6" s="19">
        <f>IF($A16="","",IF(COUNTIFS(Måned!$A$5:$A$2000,$A16,Måned!$C$5:$C$2000,MONTH(Q$5+3))=0,"",MAX(1,MIN(5,SUMIFS(Måned!$H$5:$H$2000,Måned!$A$5:$A$2000,$A16,Måned!$C$5:$C$2000,MONTH(Q$5+3))+SUMPRODUCT((Vinduer!$A$5:$A$300=$A16)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6" s="19">
        <f>IF($A16="","",IF(COUNTIFS(Måned!$A$5:$A$2000,$A16,Måned!$C$5:$C$2000,MONTH(R$5+3))=0,"",MAX(1,MIN(5,SUMIFS(Måned!$H$5:$H$2000,Måned!$A$5:$A$2000,$A16,Måned!$C$5:$C$2000,MONTH(R$5+3))+SUMPRODUCT((Vinduer!$A$5:$A$300=$A16)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6" s="19">
        <f>IF($A16="","",IF(COUNTIFS(Måned!$A$5:$A$2000,$A16,Måned!$C$5:$C$2000,MONTH(S$5+3))=0,"",MAX(1,MIN(5,SUMIFS(Måned!$H$5:$H$2000,Måned!$A$5:$A$2000,$A16,Måned!$C$5:$C$2000,MONTH(S$5+3))+SUMPRODUCT((Vinduer!$A$5:$A$300=$A16)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6" s="19">
        <f>IF($A16="","",IF(COUNTIFS(Måned!$A$5:$A$2000,$A16,Måned!$C$5:$C$2000,MONTH(T$5+3))=0,"",MAX(1,MIN(5,SUMIFS(Måned!$H$5:$H$2000,Måned!$A$5:$A$2000,$A16,Måned!$C$5:$C$2000,MONTH(T$5+3))+SUMPRODUCT((Vinduer!$A$5:$A$300=$A16)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6" s="19">
        <f>IF($A16="","",IF(COUNTIFS(Måned!$A$5:$A$2000,$A16,Måned!$C$5:$C$2000,MONTH(U$5+3))=0,"",MAX(1,MIN(5,SUMIFS(Måned!$H$5:$H$2000,Måned!$A$5:$A$2000,$A16,Måned!$C$5:$C$2000,MONTH(U$5+3))+SUMPRODUCT((Vinduer!$A$5:$A$300=$A16)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6" s="19">
        <f>IF($A16="","",IF(COUNTIFS(Måned!$A$5:$A$2000,$A16,Måned!$C$5:$C$2000,MONTH(V$5+3))=0,"",MAX(1,MIN(5,SUMIFS(Måned!$H$5:$H$2000,Måned!$A$5:$A$2000,$A16,Måned!$C$5:$C$2000,MONTH(V$5+3))+SUMPRODUCT((Vinduer!$A$5:$A$300=$A16)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6" s="19">
        <f>IF($A16="","",IF(COUNTIFS(Måned!$A$5:$A$2000,$A16,Måned!$C$5:$C$2000,MONTH(W$5+3))=0,"",MAX(1,MIN(5,SUMIFS(Måned!$H$5:$H$2000,Måned!$A$5:$A$2000,$A16,Måned!$C$5:$C$2000,MONTH(W$5+3))+SUMPRODUCT((Vinduer!$A$5:$A$300=$A16)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6" s="19">
        <f>IF($A16="","",IF(COUNTIFS(Måned!$A$5:$A$2000,$A16,Måned!$C$5:$C$2000,MONTH(X$5+3))=0,"",MAX(1,MIN(5,SUMIFS(Måned!$H$5:$H$2000,Måned!$A$5:$A$2000,$A16,Måned!$C$5:$C$2000,MONTH(X$5+3))+SUMPRODUCT((Vinduer!$A$5:$A$300=$A16)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6" s="19">
        <f>IF($A16="","",IF(COUNTIFS(Måned!$A$5:$A$2000,$A16,Måned!$C$5:$C$2000,MONTH(Y$5+3))=0,"",MAX(1,MIN(5,SUMIFS(Måned!$H$5:$H$2000,Måned!$A$5:$A$2000,$A16,Måned!$C$5:$C$2000,MONTH(Y$5+3))+SUMPRODUCT((Vinduer!$A$5:$A$300=$A16)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6" s="19">
        <f>IF($A16="","",IF(COUNTIFS(Måned!$A$5:$A$2000,$A16,Måned!$C$5:$C$2000,MONTH(Z$5+3))=0,"",MAX(1,MIN(5,SUMIFS(Måned!$H$5:$H$2000,Måned!$A$5:$A$2000,$A16,Måned!$C$5:$C$2000,MONTH(Z$5+3))+SUMPRODUCT((Vinduer!$A$5:$A$300=$A16)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6" s="19">
        <f>IF($A16="","",IF(COUNTIFS(Måned!$A$5:$A$2000,$A16,Måned!$C$5:$C$2000,MONTH(AA$5+3))=0,"",MAX(1,MIN(5,SUMIFS(Måned!$H$5:$H$2000,Måned!$A$5:$A$2000,$A16,Måned!$C$5:$C$2000,MONTH(AA$5+3))+SUMPRODUCT((Vinduer!$A$5:$A$300=$A16)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6" s="19">
        <f>IF($A16="","",IF(COUNTIFS(Måned!$A$5:$A$2000,$A16,Måned!$C$5:$C$2000,MONTH(AB$5+3))=0,"",MAX(1,MIN(5,SUMIFS(Måned!$H$5:$H$2000,Måned!$A$5:$A$2000,$A16,Måned!$C$5:$C$2000,MONTH(AB$5+3))+SUMPRODUCT((Vinduer!$A$5:$A$300=$A16)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6" s="19">
        <f>IF($A16="","",IF(COUNTIFS(Måned!$A$5:$A$2000,$A16,Måned!$C$5:$C$2000,MONTH(AC$5+3))=0,"",MAX(1,MIN(5,SUMIFS(Måned!$H$5:$H$2000,Måned!$A$5:$A$2000,$A16,Måned!$C$5:$C$2000,MONTH(AC$5+3))+SUMPRODUCT((Vinduer!$A$5:$A$300=$A16)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6" s="19">
        <f>IF($A16="","",IF(COUNTIFS(Måned!$A$5:$A$2000,$A16,Måned!$C$5:$C$2000,MONTH(AD$5+3))=0,"",MAX(1,MIN(5,SUMIFS(Måned!$H$5:$H$2000,Måned!$A$5:$A$2000,$A16,Måned!$C$5:$C$2000,MONTH(AD$5+3))+SUMPRODUCT((Vinduer!$A$5:$A$300=$A16)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6" s="19">
        <f>IF($A16="","",IF(COUNTIFS(Måned!$A$5:$A$2000,$A16,Måned!$C$5:$C$2000,MONTH(AE$5+3))=0,"",MAX(1,MIN(5,SUMIFS(Måned!$H$5:$H$2000,Måned!$A$5:$A$2000,$A16,Måned!$C$5:$C$2000,MONTH(AE$5+3))+SUMPRODUCT((Vinduer!$A$5:$A$300=$A16)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6" s="19">
        <f>IF($A16="","",IF(COUNTIFS(Måned!$A$5:$A$2000,$A16,Måned!$C$5:$C$2000,MONTH(AF$5+3))=0,"",MAX(1,MIN(5,SUMIFS(Måned!$H$5:$H$2000,Måned!$A$5:$A$2000,$A16,Måned!$C$5:$C$2000,MONTH(AF$5+3))+SUMPRODUCT((Vinduer!$A$5:$A$300=$A16)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6" s="19">
        <f>IF($A16="","",IF(COUNTIFS(Måned!$A$5:$A$2000,$A16,Måned!$C$5:$C$2000,MONTH(AG$5+3))=0,"",MAX(1,MIN(5,SUMIFS(Måned!$H$5:$H$2000,Måned!$A$5:$A$2000,$A16,Måned!$C$5:$C$2000,MONTH(AG$5+3))+SUMPRODUCT((Vinduer!$A$5:$A$300=$A16)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6" s="19">
        <f>IF($A16="","",IF(COUNTIFS(Måned!$A$5:$A$2000,$A16,Måned!$C$5:$C$2000,MONTH(AH$5+3))=0,"",MAX(1,MIN(5,SUMIFS(Måned!$H$5:$H$2000,Måned!$A$5:$A$2000,$A16,Måned!$C$5:$C$2000,MONTH(AH$5+3))+SUMPRODUCT((Vinduer!$A$5:$A$300=$A16)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6" s="19">
        <f>IF($A16="","",IF(COUNTIFS(Måned!$A$5:$A$2000,$A16,Måned!$C$5:$C$2000,MONTH(AI$5+3))=0,"",MAX(1,MIN(5,SUMIFS(Måned!$H$5:$H$2000,Måned!$A$5:$A$2000,$A16,Måned!$C$5:$C$2000,MONTH(AI$5+3))+SUMPRODUCT((Vinduer!$A$5:$A$300=$A16)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6" s="19">
        <f>IF($A16="","",IF(COUNTIFS(Måned!$A$5:$A$2000,$A16,Måned!$C$5:$C$2000,MONTH(AJ$5+3))=0,"",MAX(1,MIN(5,SUMIFS(Måned!$H$5:$H$2000,Måned!$A$5:$A$2000,$A16,Måned!$C$5:$C$2000,MONTH(AJ$5+3))+SUMPRODUCT((Vinduer!$A$5:$A$300=$A16)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6" s="19">
        <f>IF($A16="","",IF(COUNTIFS(Måned!$A$5:$A$2000,$A16,Måned!$C$5:$C$2000,MONTH(AK$5+3))=0,"",MAX(1,MIN(5,SUMIFS(Måned!$H$5:$H$2000,Måned!$A$5:$A$2000,$A16,Måned!$C$5:$C$2000,MONTH(AK$5+3))+SUMPRODUCT((Vinduer!$A$5:$A$300=$A16)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6" s="19">
        <f>IF($A16="","",IF(COUNTIFS(Måned!$A$5:$A$2000,$A16,Måned!$C$5:$C$2000,MONTH(AL$5+3))=0,"",MAX(1,MIN(5,SUMIFS(Måned!$H$5:$H$2000,Måned!$A$5:$A$2000,$A16,Måned!$C$5:$C$2000,MONTH(AL$5+3))+SUMPRODUCT((Vinduer!$A$5:$A$300=$A16)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6" s="19">
        <f>IF($A16="","",IF(COUNTIFS(Måned!$A$5:$A$2000,$A16,Måned!$C$5:$C$2000,MONTH(AM$5+3))=0,"",MAX(1,MIN(5,SUMIFS(Måned!$H$5:$H$2000,Måned!$A$5:$A$2000,$A16,Måned!$C$5:$C$2000,MONTH(AM$5+3))+SUMPRODUCT((Vinduer!$A$5:$A$300=$A16)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6" s="19">
        <f>IF($A16="","",IF(COUNTIFS(Måned!$A$5:$A$2000,$A16,Måned!$C$5:$C$2000,MONTH(AN$5+3))=0,"",MAX(1,MIN(5,SUMIFS(Måned!$H$5:$H$2000,Måned!$A$5:$A$2000,$A16,Måned!$C$5:$C$2000,MONTH(AN$5+3))+SUMPRODUCT((Vinduer!$A$5:$A$300=$A16)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6" s="19">
        <f>IF($A16="","",IF(COUNTIFS(Måned!$A$5:$A$2000,$A16,Måned!$C$5:$C$2000,MONTH(AO$5+3))=0,"",MAX(1,MIN(5,SUMIFS(Måned!$H$5:$H$2000,Måned!$A$5:$A$2000,$A16,Måned!$C$5:$C$2000,MONTH(AO$5+3))+SUMPRODUCT((Vinduer!$A$5:$A$300=$A16)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6" s="19">
        <f>IF($A16="","",IF(COUNTIFS(Måned!$A$5:$A$2000,$A16,Måned!$C$5:$C$2000,MONTH(AP$5+3))=0,"",MAX(1,MIN(5,SUMIFS(Måned!$H$5:$H$2000,Måned!$A$5:$A$2000,$A16,Måned!$C$5:$C$2000,MONTH(AP$5+3))+SUMPRODUCT((Vinduer!$A$5:$A$300=$A16)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6" s="19">
        <f>IF($A16="","",IF(COUNTIFS(Måned!$A$5:$A$2000,$A16,Måned!$C$5:$C$2000,MONTH(AQ$5+3))=0,"",MAX(1,MIN(5,SUMIFS(Måned!$H$5:$H$2000,Måned!$A$5:$A$2000,$A16,Måned!$C$5:$C$2000,MONTH(AQ$5+3))+SUMPRODUCT((Vinduer!$A$5:$A$300=$A16)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6" s="19">
        <f>IF($A16="","",IF(COUNTIFS(Måned!$A$5:$A$2000,$A16,Måned!$C$5:$C$2000,MONTH(AR$5+3))=0,"",MAX(1,MIN(5,SUMIFS(Måned!$H$5:$H$2000,Måned!$A$5:$A$2000,$A16,Måned!$C$5:$C$2000,MONTH(AR$5+3))+SUMPRODUCT((Vinduer!$A$5:$A$300=$A16)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6" s="19">
        <f>IF($A16="","",IF(COUNTIFS(Måned!$A$5:$A$2000,$A16,Måned!$C$5:$C$2000,MONTH(AS$5+3))=0,"",MAX(1,MIN(5,SUMIFS(Måned!$H$5:$H$2000,Måned!$A$5:$A$2000,$A16,Måned!$C$5:$C$2000,MONTH(AS$5+3))+SUMPRODUCT((Vinduer!$A$5:$A$300=$A16)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6" s="19">
        <f>IF($A16="","",IF(COUNTIFS(Måned!$A$5:$A$2000,$A16,Måned!$C$5:$C$2000,MONTH(AT$5+3))=0,"",MAX(1,MIN(5,SUMIFS(Måned!$H$5:$H$2000,Måned!$A$5:$A$2000,$A16,Måned!$C$5:$C$2000,MONTH(AT$5+3))+SUMPRODUCT((Vinduer!$A$5:$A$300=$A16)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6" s="19">
        <f>IF($A16="","",IF(COUNTIFS(Måned!$A$5:$A$2000,$A16,Måned!$C$5:$C$2000,MONTH(AU$5+3))=0,"",MAX(1,MIN(5,SUMIFS(Måned!$H$5:$H$2000,Måned!$A$5:$A$2000,$A16,Måned!$C$5:$C$2000,MONTH(AU$5+3))+SUMPRODUCT((Vinduer!$A$5:$A$300=$A16)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6" s="19">
        <f>IF($A16="","",IF(COUNTIFS(Måned!$A$5:$A$2000,$A16,Måned!$C$5:$C$2000,MONTH(AV$5+3))=0,"",MAX(1,MIN(5,SUMIFS(Måned!$H$5:$H$2000,Måned!$A$5:$A$2000,$A16,Måned!$C$5:$C$2000,MONTH(AV$5+3))+SUMPRODUCT((Vinduer!$A$5:$A$300=$A16)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6" s="19">
        <f>IF($A16="","",IF(COUNTIFS(Måned!$A$5:$A$2000,$A16,Måned!$C$5:$C$2000,MONTH(AW$5+3))=0,"",MAX(1,MIN(5,SUMIFS(Måned!$H$5:$H$2000,Måned!$A$5:$A$2000,$A16,Måned!$C$5:$C$2000,MONTH(AW$5+3))+SUMPRODUCT((Vinduer!$A$5:$A$300=$A16)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6" s="19">
        <f>IF($A16="","",IF(COUNTIFS(Måned!$A$5:$A$2000,$A16,Måned!$C$5:$C$2000,MONTH(AX$5+3))=0,"",MAX(1,MIN(5,SUMIFS(Måned!$H$5:$H$2000,Måned!$A$5:$A$2000,$A16,Måned!$C$5:$C$2000,MONTH(AX$5+3))+SUMPRODUCT((Vinduer!$A$5:$A$300=$A16)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6" s="19">
        <f>IF($A16="","",IF(COUNTIFS(Måned!$A$5:$A$2000,$A16,Måned!$C$5:$C$2000,MONTH(AY$5+3))=0,"",MAX(1,MIN(5,SUMIFS(Måned!$H$5:$H$2000,Måned!$A$5:$A$2000,$A16,Måned!$C$5:$C$2000,MONTH(AY$5+3))+SUMPRODUCT((Vinduer!$A$5:$A$300=$A16)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6" s="19">
        <f>IF($A16="","",IF(COUNTIFS(Måned!$A$5:$A$2000,$A16,Måned!$C$5:$C$2000,MONTH(AZ$5+3))=0,"",MAX(1,MIN(5,SUMIFS(Måned!$H$5:$H$2000,Måned!$A$5:$A$2000,$A16,Måned!$C$5:$C$2000,MONTH(AZ$5+3))+SUMPRODUCT((Vinduer!$A$5:$A$300=$A16)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6" s="19">
        <f>IF($A16="","",IF(COUNTIFS(Måned!$A$5:$A$2000,$A16,Måned!$C$5:$C$2000,MONTH(BA$5+3))=0,"",MAX(1,MIN(5,SUMIFS(Måned!$H$5:$H$2000,Måned!$A$5:$A$2000,$A16,Måned!$C$5:$C$2000,MONTH(BA$5+3))+SUMPRODUCT((Vinduer!$A$5:$A$300=$A16)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6" s="19">
        <f>IF($A16="","",IF(COUNTIFS(Måned!$A$5:$A$2000,$A16,Måned!$C$5:$C$2000,MONTH(BB$5+3))=0,"",MAX(1,MIN(5,SUMIFS(Måned!$H$5:$H$2000,Måned!$A$5:$A$2000,$A16,Måned!$C$5:$C$2000,MONTH(BB$5+3))+SUMPRODUCT((Vinduer!$A$5:$A$300=$A16)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6" s="19">
        <f>IF($A16="","",IF(COUNTIFS(Måned!$A$5:$A$2000,$A16,Måned!$C$5:$C$2000,MONTH(BC$5+3))=0,"",MAX(1,MIN(5,SUMIFS(Måned!$H$5:$H$2000,Måned!$A$5:$A$2000,$A16,Måned!$C$5:$C$2000,MONTH(BC$5+3))+SUMPRODUCT((Vinduer!$A$5:$A$300=$A16)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6" s="19">
        <f>IF($A16="","",IF(COUNTIFS(Måned!$A$5:$A$2000,$A16,Måned!$C$5:$C$2000,MONTH(BD$5+3))=0,"",MAX(1,MIN(5,SUMIFS(Måned!$H$5:$H$2000,Måned!$A$5:$A$2000,$A16,Måned!$C$5:$C$2000,MONTH(BD$5+3))+SUMPRODUCT((Vinduer!$A$5:$A$300=$A16)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6" s="19">
        <f>IF($A16="","",IF(COUNTIFS(Måned!$A$5:$A$2000,$A16,Måned!$C$5:$C$2000,MONTH(BE$5+3))=0,"",MAX(1,MIN(5,SUMIFS(Måned!$H$5:$H$2000,Måned!$A$5:$A$2000,$A16,Måned!$C$5:$C$2000,MONTH(BE$5+3))+SUMPRODUCT((Vinduer!$A$5:$A$300=$A16)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7">
      <c r="A17" s="5">
        <f>IF(Destinasjoner!A13="","",Destinasjoner!A13)</f>
        <v/>
      </c>
      <c r="B17" s="5">
        <f>IF(A17="","",Destinasjoner!E13)</f>
        <v/>
      </c>
      <c r="C17" s="5">
        <f>IF(A17="","",Destinasjoner!B13)</f>
        <v/>
      </c>
      <c r="D17" s="17">
        <f>IFERROR(SUMIFS(F17:BE17,$F$7:$BE$7,"x")/COUNTIFS($F$7:$BE$7,"x",F17:BE17,"&gt;0"),"")</f>
        <v/>
      </c>
      <c r="E17" s="18">
        <f>IF(D17="","",_xlfn.MINIFS(F17:BE17,$F$7:$BE$7,"x",F17:BE17,"&gt;0"))</f>
        <v/>
      </c>
      <c r="F17" s="19">
        <f>IF($A17="","",IF(COUNTIFS(Måned!$A$5:$A$2000,$A17,Måned!$C$5:$C$2000,MONTH(F$5+3))=0,"",MAX(1,MIN(5,SUMIFS(Måned!$H$5:$H$2000,Måned!$A$5:$A$2000,$A17,Måned!$C$5:$C$2000,MONTH(F$5+3))+SUMPRODUCT((Vinduer!$A$5:$A$300=$A17)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7" s="19">
        <f>IF($A17="","",IF(COUNTIFS(Måned!$A$5:$A$2000,$A17,Måned!$C$5:$C$2000,MONTH(G$5+3))=0,"",MAX(1,MIN(5,SUMIFS(Måned!$H$5:$H$2000,Måned!$A$5:$A$2000,$A17,Måned!$C$5:$C$2000,MONTH(G$5+3))+SUMPRODUCT((Vinduer!$A$5:$A$300=$A17)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7" s="19">
        <f>IF($A17="","",IF(COUNTIFS(Måned!$A$5:$A$2000,$A17,Måned!$C$5:$C$2000,MONTH(H$5+3))=0,"",MAX(1,MIN(5,SUMIFS(Måned!$H$5:$H$2000,Måned!$A$5:$A$2000,$A17,Måned!$C$5:$C$2000,MONTH(H$5+3))+SUMPRODUCT((Vinduer!$A$5:$A$300=$A17)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7" s="19">
        <f>IF($A17="","",IF(COUNTIFS(Måned!$A$5:$A$2000,$A17,Måned!$C$5:$C$2000,MONTH(I$5+3))=0,"",MAX(1,MIN(5,SUMIFS(Måned!$H$5:$H$2000,Måned!$A$5:$A$2000,$A17,Måned!$C$5:$C$2000,MONTH(I$5+3))+SUMPRODUCT((Vinduer!$A$5:$A$300=$A17)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7" s="19">
        <f>IF($A17="","",IF(COUNTIFS(Måned!$A$5:$A$2000,$A17,Måned!$C$5:$C$2000,MONTH(J$5+3))=0,"",MAX(1,MIN(5,SUMIFS(Måned!$H$5:$H$2000,Måned!$A$5:$A$2000,$A17,Måned!$C$5:$C$2000,MONTH(J$5+3))+SUMPRODUCT((Vinduer!$A$5:$A$300=$A17)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7" s="19">
        <f>IF($A17="","",IF(COUNTIFS(Måned!$A$5:$A$2000,$A17,Måned!$C$5:$C$2000,MONTH(K$5+3))=0,"",MAX(1,MIN(5,SUMIFS(Måned!$H$5:$H$2000,Måned!$A$5:$A$2000,$A17,Måned!$C$5:$C$2000,MONTH(K$5+3))+SUMPRODUCT((Vinduer!$A$5:$A$300=$A17)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7" s="19">
        <f>IF($A17="","",IF(COUNTIFS(Måned!$A$5:$A$2000,$A17,Måned!$C$5:$C$2000,MONTH(L$5+3))=0,"",MAX(1,MIN(5,SUMIFS(Måned!$H$5:$H$2000,Måned!$A$5:$A$2000,$A17,Måned!$C$5:$C$2000,MONTH(L$5+3))+SUMPRODUCT((Vinduer!$A$5:$A$300=$A17)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7" s="19">
        <f>IF($A17="","",IF(COUNTIFS(Måned!$A$5:$A$2000,$A17,Måned!$C$5:$C$2000,MONTH(M$5+3))=0,"",MAX(1,MIN(5,SUMIFS(Måned!$H$5:$H$2000,Måned!$A$5:$A$2000,$A17,Måned!$C$5:$C$2000,MONTH(M$5+3))+SUMPRODUCT((Vinduer!$A$5:$A$300=$A17)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7" s="19">
        <f>IF($A17="","",IF(COUNTIFS(Måned!$A$5:$A$2000,$A17,Måned!$C$5:$C$2000,MONTH(N$5+3))=0,"",MAX(1,MIN(5,SUMIFS(Måned!$H$5:$H$2000,Måned!$A$5:$A$2000,$A17,Måned!$C$5:$C$2000,MONTH(N$5+3))+SUMPRODUCT((Vinduer!$A$5:$A$300=$A17)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7" s="19">
        <f>IF($A17="","",IF(COUNTIFS(Måned!$A$5:$A$2000,$A17,Måned!$C$5:$C$2000,MONTH(O$5+3))=0,"",MAX(1,MIN(5,SUMIFS(Måned!$H$5:$H$2000,Måned!$A$5:$A$2000,$A17,Måned!$C$5:$C$2000,MONTH(O$5+3))+SUMPRODUCT((Vinduer!$A$5:$A$300=$A17)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7" s="19">
        <f>IF($A17="","",IF(COUNTIFS(Måned!$A$5:$A$2000,$A17,Måned!$C$5:$C$2000,MONTH(P$5+3))=0,"",MAX(1,MIN(5,SUMIFS(Måned!$H$5:$H$2000,Måned!$A$5:$A$2000,$A17,Måned!$C$5:$C$2000,MONTH(P$5+3))+SUMPRODUCT((Vinduer!$A$5:$A$300=$A17)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7" s="19">
        <f>IF($A17="","",IF(COUNTIFS(Måned!$A$5:$A$2000,$A17,Måned!$C$5:$C$2000,MONTH(Q$5+3))=0,"",MAX(1,MIN(5,SUMIFS(Måned!$H$5:$H$2000,Måned!$A$5:$A$2000,$A17,Måned!$C$5:$C$2000,MONTH(Q$5+3))+SUMPRODUCT((Vinduer!$A$5:$A$300=$A17)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7" s="19">
        <f>IF($A17="","",IF(COUNTIFS(Måned!$A$5:$A$2000,$A17,Måned!$C$5:$C$2000,MONTH(R$5+3))=0,"",MAX(1,MIN(5,SUMIFS(Måned!$H$5:$H$2000,Måned!$A$5:$A$2000,$A17,Måned!$C$5:$C$2000,MONTH(R$5+3))+SUMPRODUCT((Vinduer!$A$5:$A$300=$A17)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7" s="19">
        <f>IF($A17="","",IF(COUNTIFS(Måned!$A$5:$A$2000,$A17,Måned!$C$5:$C$2000,MONTH(S$5+3))=0,"",MAX(1,MIN(5,SUMIFS(Måned!$H$5:$H$2000,Måned!$A$5:$A$2000,$A17,Måned!$C$5:$C$2000,MONTH(S$5+3))+SUMPRODUCT((Vinduer!$A$5:$A$300=$A17)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7" s="19">
        <f>IF($A17="","",IF(COUNTIFS(Måned!$A$5:$A$2000,$A17,Måned!$C$5:$C$2000,MONTH(T$5+3))=0,"",MAX(1,MIN(5,SUMIFS(Måned!$H$5:$H$2000,Måned!$A$5:$A$2000,$A17,Måned!$C$5:$C$2000,MONTH(T$5+3))+SUMPRODUCT((Vinduer!$A$5:$A$300=$A17)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7" s="19">
        <f>IF($A17="","",IF(COUNTIFS(Måned!$A$5:$A$2000,$A17,Måned!$C$5:$C$2000,MONTH(U$5+3))=0,"",MAX(1,MIN(5,SUMIFS(Måned!$H$5:$H$2000,Måned!$A$5:$A$2000,$A17,Måned!$C$5:$C$2000,MONTH(U$5+3))+SUMPRODUCT((Vinduer!$A$5:$A$300=$A17)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7" s="19">
        <f>IF($A17="","",IF(COUNTIFS(Måned!$A$5:$A$2000,$A17,Måned!$C$5:$C$2000,MONTH(V$5+3))=0,"",MAX(1,MIN(5,SUMIFS(Måned!$H$5:$H$2000,Måned!$A$5:$A$2000,$A17,Måned!$C$5:$C$2000,MONTH(V$5+3))+SUMPRODUCT((Vinduer!$A$5:$A$300=$A17)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7" s="19">
        <f>IF($A17="","",IF(COUNTIFS(Måned!$A$5:$A$2000,$A17,Måned!$C$5:$C$2000,MONTH(W$5+3))=0,"",MAX(1,MIN(5,SUMIFS(Måned!$H$5:$H$2000,Måned!$A$5:$A$2000,$A17,Måned!$C$5:$C$2000,MONTH(W$5+3))+SUMPRODUCT((Vinduer!$A$5:$A$300=$A17)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7" s="19">
        <f>IF($A17="","",IF(COUNTIFS(Måned!$A$5:$A$2000,$A17,Måned!$C$5:$C$2000,MONTH(X$5+3))=0,"",MAX(1,MIN(5,SUMIFS(Måned!$H$5:$H$2000,Måned!$A$5:$A$2000,$A17,Måned!$C$5:$C$2000,MONTH(X$5+3))+SUMPRODUCT((Vinduer!$A$5:$A$300=$A17)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7" s="19">
        <f>IF($A17="","",IF(COUNTIFS(Måned!$A$5:$A$2000,$A17,Måned!$C$5:$C$2000,MONTH(Y$5+3))=0,"",MAX(1,MIN(5,SUMIFS(Måned!$H$5:$H$2000,Måned!$A$5:$A$2000,$A17,Måned!$C$5:$C$2000,MONTH(Y$5+3))+SUMPRODUCT((Vinduer!$A$5:$A$300=$A17)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7" s="19">
        <f>IF($A17="","",IF(COUNTIFS(Måned!$A$5:$A$2000,$A17,Måned!$C$5:$C$2000,MONTH(Z$5+3))=0,"",MAX(1,MIN(5,SUMIFS(Måned!$H$5:$H$2000,Måned!$A$5:$A$2000,$A17,Måned!$C$5:$C$2000,MONTH(Z$5+3))+SUMPRODUCT((Vinduer!$A$5:$A$300=$A17)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7" s="19">
        <f>IF($A17="","",IF(COUNTIFS(Måned!$A$5:$A$2000,$A17,Måned!$C$5:$C$2000,MONTH(AA$5+3))=0,"",MAX(1,MIN(5,SUMIFS(Måned!$H$5:$H$2000,Måned!$A$5:$A$2000,$A17,Måned!$C$5:$C$2000,MONTH(AA$5+3))+SUMPRODUCT((Vinduer!$A$5:$A$300=$A17)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7" s="19">
        <f>IF($A17="","",IF(COUNTIFS(Måned!$A$5:$A$2000,$A17,Måned!$C$5:$C$2000,MONTH(AB$5+3))=0,"",MAX(1,MIN(5,SUMIFS(Måned!$H$5:$H$2000,Måned!$A$5:$A$2000,$A17,Måned!$C$5:$C$2000,MONTH(AB$5+3))+SUMPRODUCT((Vinduer!$A$5:$A$300=$A17)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7" s="19">
        <f>IF($A17="","",IF(COUNTIFS(Måned!$A$5:$A$2000,$A17,Måned!$C$5:$C$2000,MONTH(AC$5+3))=0,"",MAX(1,MIN(5,SUMIFS(Måned!$H$5:$H$2000,Måned!$A$5:$A$2000,$A17,Måned!$C$5:$C$2000,MONTH(AC$5+3))+SUMPRODUCT((Vinduer!$A$5:$A$300=$A17)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7" s="19">
        <f>IF($A17="","",IF(COUNTIFS(Måned!$A$5:$A$2000,$A17,Måned!$C$5:$C$2000,MONTH(AD$5+3))=0,"",MAX(1,MIN(5,SUMIFS(Måned!$H$5:$H$2000,Måned!$A$5:$A$2000,$A17,Måned!$C$5:$C$2000,MONTH(AD$5+3))+SUMPRODUCT((Vinduer!$A$5:$A$300=$A17)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7" s="19">
        <f>IF($A17="","",IF(COUNTIFS(Måned!$A$5:$A$2000,$A17,Måned!$C$5:$C$2000,MONTH(AE$5+3))=0,"",MAX(1,MIN(5,SUMIFS(Måned!$H$5:$H$2000,Måned!$A$5:$A$2000,$A17,Måned!$C$5:$C$2000,MONTH(AE$5+3))+SUMPRODUCT((Vinduer!$A$5:$A$300=$A17)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7" s="19">
        <f>IF($A17="","",IF(COUNTIFS(Måned!$A$5:$A$2000,$A17,Måned!$C$5:$C$2000,MONTH(AF$5+3))=0,"",MAX(1,MIN(5,SUMIFS(Måned!$H$5:$H$2000,Måned!$A$5:$A$2000,$A17,Måned!$C$5:$C$2000,MONTH(AF$5+3))+SUMPRODUCT((Vinduer!$A$5:$A$300=$A17)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7" s="19">
        <f>IF($A17="","",IF(COUNTIFS(Måned!$A$5:$A$2000,$A17,Måned!$C$5:$C$2000,MONTH(AG$5+3))=0,"",MAX(1,MIN(5,SUMIFS(Måned!$H$5:$H$2000,Måned!$A$5:$A$2000,$A17,Måned!$C$5:$C$2000,MONTH(AG$5+3))+SUMPRODUCT((Vinduer!$A$5:$A$300=$A17)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7" s="19">
        <f>IF($A17="","",IF(COUNTIFS(Måned!$A$5:$A$2000,$A17,Måned!$C$5:$C$2000,MONTH(AH$5+3))=0,"",MAX(1,MIN(5,SUMIFS(Måned!$H$5:$H$2000,Måned!$A$5:$A$2000,$A17,Måned!$C$5:$C$2000,MONTH(AH$5+3))+SUMPRODUCT((Vinduer!$A$5:$A$300=$A17)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7" s="19">
        <f>IF($A17="","",IF(COUNTIFS(Måned!$A$5:$A$2000,$A17,Måned!$C$5:$C$2000,MONTH(AI$5+3))=0,"",MAX(1,MIN(5,SUMIFS(Måned!$H$5:$H$2000,Måned!$A$5:$A$2000,$A17,Måned!$C$5:$C$2000,MONTH(AI$5+3))+SUMPRODUCT((Vinduer!$A$5:$A$300=$A17)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7" s="19">
        <f>IF($A17="","",IF(COUNTIFS(Måned!$A$5:$A$2000,$A17,Måned!$C$5:$C$2000,MONTH(AJ$5+3))=0,"",MAX(1,MIN(5,SUMIFS(Måned!$H$5:$H$2000,Måned!$A$5:$A$2000,$A17,Måned!$C$5:$C$2000,MONTH(AJ$5+3))+SUMPRODUCT((Vinduer!$A$5:$A$300=$A17)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7" s="19">
        <f>IF($A17="","",IF(COUNTIFS(Måned!$A$5:$A$2000,$A17,Måned!$C$5:$C$2000,MONTH(AK$5+3))=0,"",MAX(1,MIN(5,SUMIFS(Måned!$H$5:$H$2000,Måned!$A$5:$A$2000,$A17,Måned!$C$5:$C$2000,MONTH(AK$5+3))+SUMPRODUCT((Vinduer!$A$5:$A$300=$A17)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7" s="19">
        <f>IF($A17="","",IF(COUNTIFS(Måned!$A$5:$A$2000,$A17,Måned!$C$5:$C$2000,MONTH(AL$5+3))=0,"",MAX(1,MIN(5,SUMIFS(Måned!$H$5:$H$2000,Måned!$A$5:$A$2000,$A17,Måned!$C$5:$C$2000,MONTH(AL$5+3))+SUMPRODUCT((Vinduer!$A$5:$A$300=$A17)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7" s="19">
        <f>IF($A17="","",IF(COUNTIFS(Måned!$A$5:$A$2000,$A17,Måned!$C$5:$C$2000,MONTH(AM$5+3))=0,"",MAX(1,MIN(5,SUMIFS(Måned!$H$5:$H$2000,Måned!$A$5:$A$2000,$A17,Måned!$C$5:$C$2000,MONTH(AM$5+3))+SUMPRODUCT((Vinduer!$A$5:$A$300=$A17)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7" s="19">
        <f>IF($A17="","",IF(COUNTIFS(Måned!$A$5:$A$2000,$A17,Måned!$C$5:$C$2000,MONTH(AN$5+3))=0,"",MAX(1,MIN(5,SUMIFS(Måned!$H$5:$H$2000,Måned!$A$5:$A$2000,$A17,Måned!$C$5:$C$2000,MONTH(AN$5+3))+SUMPRODUCT((Vinduer!$A$5:$A$300=$A17)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7" s="19">
        <f>IF($A17="","",IF(COUNTIFS(Måned!$A$5:$A$2000,$A17,Måned!$C$5:$C$2000,MONTH(AO$5+3))=0,"",MAX(1,MIN(5,SUMIFS(Måned!$H$5:$H$2000,Måned!$A$5:$A$2000,$A17,Måned!$C$5:$C$2000,MONTH(AO$5+3))+SUMPRODUCT((Vinduer!$A$5:$A$300=$A17)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7" s="19">
        <f>IF($A17="","",IF(COUNTIFS(Måned!$A$5:$A$2000,$A17,Måned!$C$5:$C$2000,MONTH(AP$5+3))=0,"",MAX(1,MIN(5,SUMIFS(Måned!$H$5:$H$2000,Måned!$A$5:$A$2000,$A17,Måned!$C$5:$C$2000,MONTH(AP$5+3))+SUMPRODUCT((Vinduer!$A$5:$A$300=$A17)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7" s="19">
        <f>IF($A17="","",IF(COUNTIFS(Måned!$A$5:$A$2000,$A17,Måned!$C$5:$C$2000,MONTH(AQ$5+3))=0,"",MAX(1,MIN(5,SUMIFS(Måned!$H$5:$H$2000,Måned!$A$5:$A$2000,$A17,Måned!$C$5:$C$2000,MONTH(AQ$5+3))+SUMPRODUCT((Vinduer!$A$5:$A$300=$A17)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7" s="19">
        <f>IF($A17="","",IF(COUNTIFS(Måned!$A$5:$A$2000,$A17,Måned!$C$5:$C$2000,MONTH(AR$5+3))=0,"",MAX(1,MIN(5,SUMIFS(Måned!$H$5:$H$2000,Måned!$A$5:$A$2000,$A17,Måned!$C$5:$C$2000,MONTH(AR$5+3))+SUMPRODUCT((Vinduer!$A$5:$A$300=$A17)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7" s="19">
        <f>IF($A17="","",IF(COUNTIFS(Måned!$A$5:$A$2000,$A17,Måned!$C$5:$C$2000,MONTH(AS$5+3))=0,"",MAX(1,MIN(5,SUMIFS(Måned!$H$5:$H$2000,Måned!$A$5:$A$2000,$A17,Måned!$C$5:$C$2000,MONTH(AS$5+3))+SUMPRODUCT((Vinduer!$A$5:$A$300=$A17)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7" s="19">
        <f>IF($A17="","",IF(COUNTIFS(Måned!$A$5:$A$2000,$A17,Måned!$C$5:$C$2000,MONTH(AT$5+3))=0,"",MAX(1,MIN(5,SUMIFS(Måned!$H$5:$H$2000,Måned!$A$5:$A$2000,$A17,Måned!$C$5:$C$2000,MONTH(AT$5+3))+SUMPRODUCT((Vinduer!$A$5:$A$300=$A17)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7" s="19">
        <f>IF($A17="","",IF(COUNTIFS(Måned!$A$5:$A$2000,$A17,Måned!$C$5:$C$2000,MONTH(AU$5+3))=0,"",MAX(1,MIN(5,SUMIFS(Måned!$H$5:$H$2000,Måned!$A$5:$A$2000,$A17,Måned!$C$5:$C$2000,MONTH(AU$5+3))+SUMPRODUCT((Vinduer!$A$5:$A$300=$A17)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7" s="19">
        <f>IF($A17="","",IF(COUNTIFS(Måned!$A$5:$A$2000,$A17,Måned!$C$5:$C$2000,MONTH(AV$5+3))=0,"",MAX(1,MIN(5,SUMIFS(Måned!$H$5:$H$2000,Måned!$A$5:$A$2000,$A17,Måned!$C$5:$C$2000,MONTH(AV$5+3))+SUMPRODUCT((Vinduer!$A$5:$A$300=$A17)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7" s="19">
        <f>IF($A17="","",IF(COUNTIFS(Måned!$A$5:$A$2000,$A17,Måned!$C$5:$C$2000,MONTH(AW$5+3))=0,"",MAX(1,MIN(5,SUMIFS(Måned!$H$5:$H$2000,Måned!$A$5:$A$2000,$A17,Måned!$C$5:$C$2000,MONTH(AW$5+3))+SUMPRODUCT((Vinduer!$A$5:$A$300=$A17)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7" s="19">
        <f>IF($A17="","",IF(COUNTIFS(Måned!$A$5:$A$2000,$A17,Måned!$C$5:$C$2000,MONTH(AX$5+3))=0,"",MAX(1,MIN(5,SUMIFS(Måned!$H$5:$H$2000,Måned!$A$5:$A$2000,$A17,Måned!$C$5:$C$2000,MONTH(AX$5+3))+SUMPRODUCT((Vinduer!$A$5:$A$300=$A17)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7" s="19">
        <f>IF($A17="","",IF(COUNTIFS(Måned!$A$5:$A$2000,$A17,Måned!$C$5:$C$2000,MONTH(AY$5+3))=0,"",MAX(1,MIN(5,SUMIFS(Måned!$H$5:$H$2000,Måned!$A$5:$A$2000,$A17,Måned!$C$5:$C$2000,MONTH(AY$5+3))+SUMPRODUCT((Vinduer!$A$5:$A$300=$A17)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7" s="19">
        <f>IF($A17="","",IF(COUNTIFS(Måned!$A$5:$A$2000,$A17,Måned!$C$5:$C$2000,MONTH(AZ$5+3))=0,"",MAX(1,MIN(5,SUMIFS(Måned!$H$5:$H$2000,Måned!$A$5:$A$2000,$A17,Måned!$C$5:$C$2000,MONTH(AZ$5+3))+SUMPRODUCT((Vinduer!$A$5:$A$300=$A17)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7" s="19">
        <f>IF($A17="","",IF(COUNTIFS(Måned!$A$5:$A$2000,$A17,Måned!$C$5:$C$2000,MONTH(BA$5+3))=0,"",MAX(1,MIN(5,SUMIFS(Måned!$H$5:$H$2000,Måned!$A$5:$A$2000,$A17,Måned!$C$5:$C$2000,MONTH(BA$5+3))+SUMPRODUCT((Vinduer!$A$5:$A$300=$A17)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7" s="19">
        <f>IF($A17="","",IF(COUNTIFS(Måned!$A$5:$A$2000,$A17,Måned!$C$5:$C$2000,MONTH(BB$5+3))=0,"",MAX(1,MIN(5,SUMIFS(Måned!$H$5:$H$2000,Måned!$A$5:$A$2000,$A17,Måned!$C$5:$C$2000,MONTH(BB$5+3))+SUMPRODUCT((Vinduer!$A$5:$A$300=$A17)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7" s="19">
        <f>IF($A17="","",IF(COUNTIFS(Måned!$A$5:$A$2000,$A17,Måned!$C$5:$C$2000,MONTH(BC$5+3))=0,"",MAX(1,MIN(5,SUMIFS(Måned!$H$5:$H$2000,Måned!$A$5:$A$2000,$A17,Måned!$C$5:$C$2000,MONTH(BC$5+3))+SUMPRODUCT((Vinduer!$A$5:$A$300=$A17)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7" s="19">
        <f>IF($A17="","",IF(COUNTIFS(Måned!$A$5:$A$2000,$A17,Måned!$C$5:$C$2000,MONTH(BD$5+3))=0,"",MAX(1,MIN(5,SUMIFS(Måned!$H$5:$H$2000,Måned!$A$5:$A$2000,$A17,Måned!$C$5:$C$2000,MONTH(BD$5+3))+SUMPRODUCT((Vinduer!$A$5:$A$300=$A17)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7" s="19">
        <f>IF($A17="","",IF(COUNTIFS(Måned!$A$5:$A$2000,$A17,Måned!$C$5:$C$2000,MONTH(BE$5+3))=0,"",MAX(1,MIN(5,SUMIFS(Måned!$H$5:$H$2000,Måned!$A$5:$A$2000,$A17,Måned!$C$5:$C$2000,MONTH(BE$5+3))+SUMPRODUCT((Vinduer!$A$5:$A$300=$A17)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8">
      <c r="A18" s="5">
        <f>IF(Destinasjoner!A14="","",Destinasjoner!A14)</f>
        <v/>
      </c>
      <c r="B18" s="5">
        <f>IF(A18="","",Destinasjoner!E14)</f>
        <v/>
      </c>
      <c r="C18" s="5">
        <f>IF(A18="","",Destinasjoner!B14)</f>
        <v/>
      </c>
      <c r="D18" s="17">
        <f>IFERROR(SUMIFS(F18:BE18,$F$7:$BE$7,"x")/COUNTIFS($F$7:$BE$7,"x",F18:BE18,"&gt;0"),"")</f>
        <v/>
      </c>
      <c r="E18" s="18">
        <f>IF(D18="","",_xlfn.MINIFS(F18:BE18,$F$7:$BE$7,"x",F18:BE18,"&gt;0"))</f>
        <v/>
      </c>
      <c r="F18" s="19">
        <f>IF($A18="","",IF(COUNTIFS(Måned!$A$5:$A$2000,$A18,Måned!$C$5:$C$2000,MONTH(F$5+3))=0,"",MAX(1,MIN(5,SUMIFS(Måned!$H$5:$H$2000,Måned!$A$5:$A$2000,$A18,Måned!$C$5:$C$2000,MONTH(F$5+3))+SUMPRODUCT((Vinduer!$A$5:$A$300=$A18)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8" s="19">
        <f>IF($A18="","",IF(COUNTIFS(Måned!$A$5:$A$2000,$A18,Måned!$C$5:$C$2000,MONTH(G$5+3))=0,"",MAX(1,MIN(5,SUMIFS(Måned!$H$5:$H$2000,Måned!$A$5:$A$2000,$A18,Måned!$C$5:$C$2000,MONTH(G$5+3))+SUMPRODUCT((Vinduer!$A$5:$A$300=$A18)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8" s="19">
        <f>IF($A18="","",IF(COUNTIFS(Måned!$A$5:$A$2000,$A18,Måned!$C$5:$C$2000,MONTH(H$5+3))=0,"",MAX(1,MIN(5,SUMIFS(Måned!$H$5:$H$2000,Måned!$A$5:$A$2000,$A18,Måned!$C$5:$C$2000,MONTH(H$5+3))+SUMPRODUCT((Vinduer!$A$5:$A$300=$A18)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8" s="19">
        <f>IF($A18="","",IF(COUNTIFS(Måned!$A$5:$A$2000,$A18,Måned!$C$5:$C$2000,MONTH(I$5+3))=0,"",MAX(1,MIN(5,SUMIFS(Måned!$H$5:$H$2000,Måned!$A$5:$A$2000,$A18,Måned!$C$5:$C$2000,MONTH(I$5+3))+SUMPRODUCT((Vinduer!$A$5:$A$300=$A18)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8" s="19">
        <f>IF($A18="","",IF(COUNTIFS(Måned!$A$5:$A$2000,$A18,Måned!$C$5:$C$2000,MONTH(J$5+3))=0,"",MAX(1,MIN(5,SUMIFS(Måned!$H$5:$H$2000,Måned!$A$5:$A$2000,$A18,Måned!$C$5:$C$2000,MONTH(J$5+3))+SUMPRODUCT((Vinduer!$A$5:$A$300=$A18)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8" s="19">
        <f>IF($A18="","",IF(COUNTIFS(Måned!$A$5:$A$2000,$A18,Måned!$C$5:$C$2000,MONTH(K$5+3))=0,"",MAX(1,MIN(5,SUMIFS(Måned!$H$5:$H$2000,Måned!$A$5:$A$2000,$A18,Måned!$C$5:$C$2000,MONTH(K$5+3))+SUMPRODUCT((Vinduer!$A$5:$A$300=$A18)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8" s="19">
        <f>IF($A18="","",IF(COUNTIFS(Måned!$A$5:$A$2000,$A18,Måned!$C$5:$C$2000,MONTH(L$5+3))=0,"",MAX(1,MIN(5,SUMIFS(Måned!$H$5:$H$2000,Måned!$A$5:$A$2000,$A18,Måned!$C$5:$C$2000,MONTH(L$5+3))+SUMPRODUCT((Vinduer!$A$5:$A$300=$A18)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8" s="19">
        <f>IF($A18="","",IF(COUNTIFS(Måned!$A$5:$A$2000,$A18,Måned!$C$5:$C$2000,MONTH(M$5+3))=0,"",MAX(1,MIN(5,SUMIFS(Måned!$H$5:$H$2000,Måned!$A$5:$A$2000,$A18,Måned!$C$5:$C$2000,MONTH(M$5+3))+SUMPRODUCT((Vinduer!$A$5:$A$300=$A18)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8" s="19">
        <f>IF($A18="","",IF(COUNTIFS(Måned!$A$5:$A$2000,$A18,Måned!$C$5:$C$2000,MONTH(N$5+3))=0,"",MAX(1,MIN(5,SUMIFS(Måned!$H$5:$H$2000,Måned!$A$5:$A$2000,$A18,Måned!$C$5:$C$2000,MONTH(N$5+3))+SUMPRODUCT((Vinduer!$A$5:$A$300=$A18)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8" s="19">
        <f>IF($A18="","",IF(COUNTIFS(Måned!$A$5:$A$2000,$A18,Måned!$C$5:$C$2000,MONTH(O$5+3))=0,"",MAX(1,MIN(5,SUMIFS(Måned!$H$5:$H$2000,Måned!$A$5:$A$2000,$A18,Måned!$C$5:$C$2000,MONTH(O$5+3))+SUMPRODUCT((Vinduer!$A$5:$A$300=$A18)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8" s="19">
        <f>IF($A18="","",IF(COUNTIFS(Måned!$A$5:$A$2000,$A18,Måned!$C$5:$C$2000,MONTH(P$5+3))=0,"",MAX(1,MIN(5,SUMIFS(Måned!$H$5:$H$2000,Måned!$A$5:$A$2000,$A18,Måned!$C$5:$C$2000,MONTH(P$5+3))+SUMPRODUCT((Vinduer!$A$5:$A$300=$A18)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8" s="19">
        <f>IF($A18="","",IF(COUNTIFS(Måned!$A$5:$A$2000,$A18,Måned!$C$5:$C$2000,MONTH(Q$5+3))=0,"",MAX(1,MIN(5,SUMIFS(Måned!$H$5:$H$2000,Måned!$A$5:$A$2000,$A18,Måned!$C$5:$C$2000,MONTH(Q$5+3))+SUMPRODUCT((Vinduer!$A$5:$A$300=$A18)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8" s="19">
        <f>IF($A18="","",IF(COUNTIFS(Måned!$A$5:$A$2000,$A18,Måned!$C$5:$C$2000,MONTH(R$5+3))=0,"",MAX(1,MIN(5,SUMIFS(Måned!$H$5:$H$2000,Måned!$A$5:$A$2000,$A18,Måned!$C$5:$C$2000,MONTH(R$5+3))+SUMPRODUCT((Vinduer!$A$5:$A$300=$A18)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8" s="19">
        <f>IF($A18="","",IF(COUNTIFS(Måned!$A$5:$A$2000,$A18,Måned!$C$5:$C$2000,MONTH(S$5+3))=0,"",MAX(1,MIN(5,SUMIFS(Måned!$H$5:$H$2000,Måned!$A$5:$A$2000,$A18,Måned!$C$5:$C$2000,MONTH(S$5+3))+SUMPRODUCT((Vinduer!$A$5:$A$300=$A18)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8" s="19">
        <f>IF($A18="","",IF(COUNTIFS(Måned!$A$5:$A$2000,$A18,Måned!$C$5:$C$2000,MONTH(T$5+3))=0,"",MAX(1,MIN(5,SUMIFS(Måned!$H$5:$H$2000,Måned!$A$5:$A$2000,$A18,Måned!$C$5:$C$2000,MONTH(T$5+3))+SUMPRODUCT((Vinduer!$A$5:$A$300=$A18)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8" s="19">
        <f>IF($A18="","",IF(COUNTIFS(Måned!$A$5:$A$2000,$A18,Måned!$C$5:$C$2000,MONTH(U$5+3))=0,"",MAX(1,MIN(5,SUMIFS(Måned!$H$5:$H$2000,Måned!$A$5:$A$2000,$A18,Måned!$C$5:$C$2000,MONTH(U$5+3))+SUMPRODUCT((Vinduer!$A$5:$A$300=$A18)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8" s="19">
        <f>IF($A18="","",IF(COUNTIFS(Måned!$A$5:$A$2000,$A18,Måned!$C$5:$C$2000,MONTH(V$5+3))=0,"",MAX(1,MIN(5,SUMIFS(Måned!$H$5:$H$2000,Måned!$A$5:$A$2000,$A18,Måned!$C$5:$C$2000,MONTH(V$5+3))+SUMPRODUCT((Vinduer!$A$5:$A$300=$A18)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8" s="19">
        <f>IF($A18="","",IF(COUNTIFS(Måned!$A$5:$A$2000,$A18,Måned!$C$5:$C$2000,MONTH(W$5+3))=0,"",MAX(1,MIN(5,SUMIFS(Måned!$H$5:$H$2000,Måned!$A$5:$A$2000,$A18,Måned!$C$5:$C$2000,MONTH(W$5+3))+SUMPRODUCT((Vinduer!$A$5:$A$300=$A18)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8" s="19">
        <f>IF($A18="","",IF(COUNTIFS(Måned!$A$5:$A$2000,$A18,Måned!$C$5:$C$2000,MONTH(X$5+3))=0,"",MAX(1,MIN(5,SUMIFS(Måned!$H$5:$H$2000,Måned!$A$5:$A$2000,$A18,Måned!$C$5:$C$2000,MONTH(X$5+3))+SUMPRODUCT((Vinduer!$A$5:$A$300=$A18)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8" s="19">
        <f>IF($A18="","",IF(COUNTIFS(Måned!$A$5:$A$2000,$A18,Måned!$C$5:$C$2000,MONTH(Y$5+3))=0,"",MAX(1,MIN(5,SUMIFS(Måned!$H$5:$H$2000,Måned!$A$5:$A$2000,$A18,Måned!$C$5:$C$2000,MONTH(Y$5+3))+SUMPRODUCT((Vinduer!$A$5:$A$300=$A18)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8" s="19">
        <f>IF($A18="","",IF(COUNTIFS(Måned!$A$5:$A$2000,$A18,Måned!$C$5:$C$2000,MONTH(Z$5+3))=0,"",MAX(1,MIN(5,SUMIFS(Måned!$H$5:$H$2000,Måned!$A$5:$A$2000,$A18,Måned!$C$5:$C$2000,MONTH(Z$5+3))+SUMPRODUCT((Vinduer!$A$5:$A$300=$A18)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8" s="19">
        <f>IF($A18="","",IF(COUNTIFS(Måned!$A$5:$A$2000,$A18,Måned!$C$5:$C$2000,MONTH(AA$5+3))=0,"",MAX(1,MIN(5,SUMIFS(Måned!$H$5:$H$2000,Måned!$A$5:$A$2000,$A18,Måned!$C$5:$C$2000,MONTH(AA$5+3))+SUMPRODUCT((Vinduer!$A$5:$A$300=$A18)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8" s="19">
        <f>IF($A18="","",IF(COUNTIFS(Måned!$A$5:$A$2000,$A18,Måned!$C$5:$C$2000,MONTH(AB$5+3))=0,"",MAX(1,MIN(5,SUMIFS(Måned!$H$5:$H$2000,Måned!$A$5:$A$2000,$A18,Måned!$C$5:$C$2000,MONTH(AB$5+3))+SUMPRODUCT((Vinduer!$A$5:$A$300=$A18)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8" s="19">
        <f>IF($A18="","",IF(COUNTIFS(Måned!$A$5:$A$2000,$A18,Måned!$C$5:$C$2000,MONTH(AC$5+3))=0,"",MAX(1,MIN(5,SUMIFS(Måned!$H$5:$H$2000,Måned!$A$5:$A$2000,$A18,Måned!$C$5:$C$2000,MONTH(AC$5+3))+SUMPRODUCT((Vinduer!$A$5:$A$300=$A18)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8" s="19">
        <f>IF($A18="","",IF(COUNTIFS(Måned!$A$5:$A$2000,$A18,Måned!$C$5:$C$2000,MONTH(AD$5+3))=0,"",MAX(1,MIN(5,SUMIFS(Måned!$H$5:$H$2000,Måned!$A$5:$A$2000,$A18,Måned!$C$5:$C$2000,MONTH(AD$5+3))+SUMPRODUCT((Vinduer!$A$5:$A$300=$A18)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8" s="19">
        <f>IF($A18="","",IF(COUNTIFS(Måned!$A$5:$A$2000,$A18,Måned!$C$5:$C$2000,MONTH(AE$5+3))=0,"",MAX(1,MIN(5,SUMIFS(Måned!$H$5:$H$2000,Måned!$A$5:$A$2000,$A18,Måned!$C$5:$C$2000,MONTH(AE$5+3))+SUMPRODUCT((Vinduer!$A$5:$A$300=$A18)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8" s="19">
        <f>IF($A18="","",IF(COUNTIFS(Måned!$A$5:$A$2000,$A18,Måned!$C$5:$C$2000,MONTH(AF$5+3))=0,"",MAX(1,MIN(5,SUMIFS(Måned!$H$5:$H$2000,Måned!$A$5:$A$2000,$A18,Måned!$C$5:$C$2000,MONTH(AF$5+3))+SUMPRODUCT((Vinduer!$A$5:$A$300=$A18)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8" s="19">
        <f>IF($A18="","",IF(COUNTIFS(Måned!$A$5:$A$2000,$A18,Måned!$C$5:$C$2000,MONTH(AG$5+3))=0,"",MAX(1,MIN(5,SUMIFS(Måned!$H$5:$H$2000,Måned!$A$5:$A$2000,$A18,Måned!$C$5:$C$2000,MONTH(AG$5+3))+SUMPRODUCT((Vinduer!$A$5:$A$300=$A18)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8" s="19">
        <f>IF($A18="","",IF(COUNTIFS(Måned!$A$5:$A$2000,$A18,Måned!$C$5:$C$2000,MONTH(AH$5+3))=0,"",MAX(1,MIN(5,SUMIFS(Måned!$H$5:$H$2000,Måned!$A$5:$A$2000,$A18,Måned!$C$5:$C$2000,MONTH(AH$5+3))+SUMPRODUCT((Vinduer!$A$5:$A$300=$A18)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8" s="19">
        <f>IF($A18="","",IF(COUNTIFS(Måned!$A$5:$A$2000,$A18,Måned!$C$5:$C$2000,MONTH(AI$5+3))=0,"",MAX(1,MIN(5,SUMIFS(Måned!$H$5:$H$2000,Måned!$A$5:$A$2000,$A18,Måned!$C$5:$C$2000,MONTH(AI$5+3))+SUMPRODUCT((Vinduer!$A$5:$A$300=$A18)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8" s="19">
        <f>IF($A18="","",IF(COUNTIFS(Måned!$A$5:$A$2000,$A18,Måned!$C$5:$C$2000,MONTH(AJ$5+3))=0,"",MAX(1,MIN(5,SUMIFS(Måned!$H$5:$H$2000,Måned!$A$5:$A$2000,$A18,Måned!$C$5:$C$2000,MONTH(AJ$5+3))+SUMPRODUCT((Vinduer!$A$5:$A$300=$A18)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8" s="19">
        <f>IF($A18="","",IF(COUNTIFS(Måned!$A$5:$A$2000,$A18,Måned!$C$5:$C$2000,MONTH(AK$5+3))=0,"",MAX(1,MIN(5,SUMIFS(Måned!$H$5:$H$2000,Måned!$A$5:$A$2000,$A18,Måned!$C$5:$C$2000,MONTH(AK$5+3))+SUMPRODUCT((Vinduer!$A$5:$A$300=$A18)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8" s="19">
        <f>IF($A18="","",IF(COUNTIFS(Måned!$A$5:$A$2000,$A18,Måned!$C$5:$C$2000,MONTH(AL$5+3))=0,"",MAX(1,MIN(5,SUMIFS(Måned!$H$5:$H$2000,Måned!$A$5:$A$2000,$A18,Måned!$C$5:$C$2000,MONTH(AL$5+3))+SUMPRODUCT((Vinduer!$A$5:$A$300=$A18)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8" s="19">
        <f>IF($A18="","",IF(COUNTIFS(Måned!$A$5:$A$2000,$A18,Måned!$C$5:$C$2000,MONTH(AM$5+3))=0,"",MAX(1,MIN(5,SUMIFS(Måned!$H$5:$H$2000,Måned!$A$5:$A$2000,$A18,Måned!$C$5:$C$2000,MONTH(AM$5+3))+SUMPRODUCT((Vinduer!$A$5:$A$300=$A18)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8" s="19">
        <f>IF($A18="","",IF(COUNTIFS(Måned!$A$5:$A$2000,$A18,Måned!$C$5:$C$2000,MONTH(AN$5+3))=0,"",MAX(1,MIN(5,SUMIFS(Måned!$H$5:$H$2000,Måned!$A$5:$A$2000,$A18,Måned!$C$5:$C$2000,MONTH(AN$5+3))+SUMPRODUCT((Vinduer!$A$5:$A$300=$A18)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8" s="19">
        <f>IF($A18="","",IF(COUNTIFS(Måned!$A$5:$A$2000,$A18,Måned!$C$5:$C$2000,MONTH(AO$5+3))=0,"",MAX(1,MIN(5,SUMIFS(Måned!$H$5:$H$2000,Måned!$A$5:$A$2000,$A18,Måned!$C$5:$C$2000,MONTH(AO$5+3))+SUMPRODUCT((Vinduer!$A$5:$A$300=$A18)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8" s="19">
        <f>IF($A18="","",IF(COUNTIFS(Måned!$A$5:$A$2000,$A18,Måned!$C$5:$C$2000,MONTH(AP$5+3))=0,"",MAX(1,MIN(5,SUMIFS(Måned!$H$5:$H$2000,Måned!$A$5:$A$2000,$A18,Måned!$C$5:$C$2000,MONTH(AP$5+3))+SUMPRODUCT((Vinduer!$A$5:$A$300=$A18)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8" s="19">
        <f>IF($A18="","",IF(COUNTIFS(Måned!$A$5:$A$2000,$A18,Måned!$C$5:$C$2000,MONTH(AQ$5+3))=0,"",MAX(1,MIN(5,SUMIFS(Måned!$H$5:$H$2000,Måned!$A$5:$A$2000,$A18,Måned!$C$5:$C$2000,MONTH(AQ$5+3))+SUMPRODUCT((Vinduer!$A$5:$A$300=$A18)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8" s="19">
        <f>IF($A18="","",IF(COUNTIFS(Måned!$A$5:$A$2000,$A18,Måned!$C$5:$C$2000,MONTH(AR$5+3))=0,"",MAX(1,MIN(5,SUMIFS(Måned!$H$5:$H$2000,Måned!$A$5:$A$2000,$A18,Måned!$C$5:$C$2000,MONTH(AR$5+3))+SUMPRODUCT((Vinduer!$A$5:$A$300=$A18)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8" s="19">
        <f>IF($A18="","",IF(COUNTIFS(Måned!$A$5:$A$2000,$A18,Måned!$C$5:$C$2000,MONTH(AS$5+3))=0,"",MAX(1,MIN(5,SUMIFS(Måned!$H$5:$H$2000,Måned!$A$5:$A$2000,$A18,Måned!$C$5:$C$2000,MONTH(AS$5+3))+SUMPRODUCT((Vinduer!$A$5:$A$300=$A18)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8" s="19">
        <f>IF($A18="","",IF(COUNTIFS(Måned!$A$5:$A$2000,$A18,Måned!$C$5:$C$2000,MONTH(AT$5+3))=0,"",MAX(1,MIN(5,SUMIFS(Måned!$H$5:$H$2000,Måned!$A$5:$A$2000,$A18,Måned!$C$5:$C$2000,MONTH(AT$5+3))+SUMPRODUCT((Vinduer!$A$5:$A$300=$A18)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8" s="19">
        <f>IF($A18="","",IF(COUNTIFS(Måned!$A$5:$A$2000,$A18,Måned!$C$5:$C$2000,MONTH(AU$5+3))=0,"",MAX(1,MIN(5,SUMIFS(Måned!$H$5:$H$2000,Måned!$A$5:$A$2000,$A18,Måned!$C$5:$C$2000,MONTH(AU$5+3))+SUMPRODUCT((Vinduer!$A$5:$A$300=$A18)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8" s="19">
        <f>IF($A18="","",IF(COUNTIFS(Måned!$A$5:$A$2000,$A18,Måned!$C$5:$C$2000,MONTH(AV$5+3))=0,"",MAX(1,MIN(5,SUMIFS(Måned!$H$5:$H$2000,Måned!$A$5:$A$2000,$A18,Måned!$C$5:$C$2000,MONTH(AV$5+3))+SUMPRODUCT((Vinduer!$A$5:$A$300=$A18)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8" s="19">
        <f>IF($A18="","",IF(COUNTIFS(Måned!$A$5:$A$2000,$A18,Måned!$C$5:$C$2000,MONTH(AW$5+3))=0,"",MAX(1,MIN(5,SUMIFS(Måned!$H$5:$H$2000,Måned!$A$5:$A$2000,$A18,Måned!$C$5:$C$2000,MONTH(AW$5+3))+SUMPRODUCT((Vinduer!$A$5:$A$300=$A18)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8" s="19">
        <f>IF($A18="","",IF(COUNTIFS(Måned!$A$5:$A$2000,$A18,Måned!$C$5:$C$2000,MONTH(AX$5+3))=0,"",MAX(1,MIN(5,SUMIFS(Måned!$H$5:$H$2000,Måned!$A$5:$A$2000,$A18,Måned!$C$5:$C$2000,MONTH(AX$5+3))+SUMPRODUCT((Vinduer!$A$5:$A$300=$A18)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8" s="19">
        <f>IF($A18="","",IF(COUNTIFS(Måned!$A$5:$A$2000,$A18,Måned!$C$5:$C$2000,MONTH(AY$5+3))=0,"",MAX(1,MIN(5,SUMIFS(Måned!$H$5:$H$2000,Måned!$A$5:$A$2000,$A18,Måned!$C$5:$C$2000,MONTH(AY$5+3))+SUMPRODUCT((Vinduer!$A$5:$A$300=$A18)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8" s="19">
        <f>IF($A18="","",IF(COUNTIFS(Måned!$A$5:$A$2000,$A18,Måned!$C$5:$C$2000,MONTH(AZ$5+3))=0,"",MAX(1,MIN(5,SUMIFS(Måned!$H$5:$H$2000,Måned!$A$5:$A$2000,$A18,Måned!$C$5:$C$2000,MONTH(AZ$5+3))+SUMPRODUCT((Vinduer!$A$5:$A$300=$A18)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8" s="19">
        <f>IF($A18="","",IF(COUNTIFS(Måned!$A$5:$A$2000,$A18,Måned!$C$5:$C$2000,MONTH(BA$5+3))=0,"",MAX(1,MIN(5,SUMIFS(Måned!$H$5:$H$2000,Måned!$A$5:$A$2000,$A18,Måned!$C$5:$C$2000,MONTH(BA$5+3))+SUMPRODUCT((Vinduer!$A$5:$A$300=$A18)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8" s="19">
        <f>IF($A18="","",IF(COUNTIFS(Måned!$A$5:$A$2000,$A18,Måned!$C$5:$C$2000,MONTH(BB$5+3))=0,"",MAX(1,MIN(5,SUMIFS(Måned!$H$5:$H$2000,Måned!$A$5:$A$2000,$A18,Måned!$C$5:$C$2000,MONTH(BB$5+3))+SUMPRODUCT((Vinduer!$A$5:$A$300=$A18)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8" s="19">
        <f>IF($A18="","",IF(COUNTIFS(Måned!$A$5:$A$2000,$A18,Måned!$C$5:$C$2000,MONTH(BC$5+3))=0,"",MAX(1,MIN(5,SUMIFS(Måned!$H$5:$H$2000,Måned!$A$5:$A$2000,$A18,Måned!$C$5:$C$2000,MONTH(BC$5+3))+SUMPRODUCT((Vinduer!$A$5:$A$300=$A18)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8" s="19">
        <f>IF($A18="","",IF(COUNTIFS(Måned!$A$5:$A$2000,$A18,Måned!$C$5:$C$2000,MONTH(BD$5+3))=0,"",MAX(1,MIN(5,SUMIFS(Måned!$H$5:$H$2000,Måned!$A$5:$A$2000,$A18,Måned!$C$5:$C$2000,MONTH(BD$5+3))+SUMPRODUCT((Vinduer!$A$5:$A$300=$A18)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8" s="19">
        <f>IF($A18="","",IF(COUNTIFS(Måned!$A$5:$A$2000,$A18,Måned!$C$5:$C$2000,MONTH(BE$5+3))=0,"",MAX(1,MIN(5,SUMIFS(Måned!$H$5:$H$2000,Måned!$A$5:$A$2000,$A18,Måned!$C$5:$C$2000,MONTH(BE$5+3))+SUMPRODUCT((Vinduer!$A$5:$A$300=$A18)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19">
      <c r="A19" s="5">
        <f>IF(Destinasjoner!A15="","",Destinasjoner!A15)</f>
        <v/>
      </c>
      <c r="B19" s="5">
        <f>IF(A19="","",Destinasjoner!E15)</f>
        <v/>
      </c>
      <c r="C19" s="5">
        <f>IF(A19="","",Destinasjoner!B15)</f>
        <v/>
      </c>
      <c r="D19" s="17">
        <f>IFERROR(SUMIFS(F19:BE19,$F$7:$BE$7,"x")/COUNTIFS($F$7:$BE$7,"x",F19:BE19,"&gt;0"),"")</f>
        <v/>
      </c>
      <c r="E19" s="18">
        <f>IF(D19="","",_xlfn.MINIFS(F19:BE19,$F$7:$BE$7,"x",F19:BE19,"&gt;0"))</f>
        <v/>
      </c>
      <c r="F19" s="19">
        <f>IF($A19="","",IF(COUNTIFS(Måned!$A$5:$A$2000,$A19,Måned!$C$5:$C$2000,MONTH(F$5+3))=0,"",MAX(1,MIN(5,SUMIFS(Måned!$H$5:$H$2000,Måned!$A$5:$A$2000,$A19,Måned!$C$5:$C$2000,MONTH(F$5+3))+SUMPRODUCT((Vinduer!$A$5:$A$300=$A19)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19" s="19">
        <f>IF($A19="","",IF(COUNTIFS(Måned!$A$5:$A$2000,$A19,Måned!$C$5:$C$2000,MONTH(G$5+3))=0,"",MAX(1,MIN(5,SUMIFS(Måned!$H$5:$H$2000,Måned!$A$5:$A$2000,$A19,Måned!$C$5:$C$2000,MONTH(G$5+3))+SUMPRODUCT((Vinduer!$A$5:$A$300=$A19)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19" s="19">
        <f>IF($A19="","",IF(COUNTIFS(Måned!$A$5:$A$2000,$A19,Måned!$C$5:$C$2000,MONTH(H$5+3))=0,"",MAX(1,MIN(5,SUMIFS(Måned!$H$5:$H$2000,Måned!$A$5:$A$2000,$A19,Måned!$C$5:$C$2000,MONTH(H$5+3))+SUMPRODUCT((Vinduer!$A$5:$A$300=$A19)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19" s="19">
        <f>IF($A19="","",IF(COUNTIFS(Måned!$A$5:$A$2000,$A19,Måned!$C$5:$C$2000,MONTH(I$5+3))=0,"",MAX(1,MIN(5,SUMIFS(Måned!$H$5:$H$2000,Måned!$A$5:$A$2000,$A19,Måned!$C$5:$C$2000,MONTH(I$5+3))+SUMPRODUCT((Vinduer!$A$5:$A$300=$A19)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19" s="19">
        <f>IF($A19="","",IF(COUNTIFS(Måned!$A$5:$A$2000,$A19,Måned!$C$5:$C$2000,MONTH(J$5+3))=0,"",MAX(1,MIN(5,SUMIFS(Måned!$H$5:$H$2000,Måned!$A$5:$A$2000,$A19,Måned!$C$5:$C$2000,MONTH(J$5+3))+SUMPRODUCT((Vinduer!$A$5:$A$300=$A19)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19" s="19">
        <f>IF($A19="","",IF(COUNTIFS(Måned!$A$5:$A$2000,$A19,Måned!$C$5:$C$2000,MONTH(K$5+3))=0,"",MAX(1,MIN(5,SUMIFS(Måned!$H$5:$H$2000,Måned!$A$5:$A$2000,$A19,Måned!$C$5:$C$2000,MONTH(K$5+3))+SUMPRODUCT((Vinduer!$A$5:$A$300=$A19)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19" s="19">
        <f>IF($A19="","",IF(COUNTIFS(Måned!$A$5:$A$2000,$A19,Måned!$C$5:$C$2000,MONTH(L$5+3))=0,"",MAX(1,MIN(5,SUMIFS(Måned!$H$5:$H$2000,Måned!$A$5:$A$2000,$A19,Måned!$C$5:$C$2000,MONTH(L$5+3))+SUMPRODUCT((Vinduer!$A$5:$A$300=$A19)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19" s="19">
        <f>IF($A19="","",IF(COUNTIFS(Måned!$A$5:$A$2000,$A19,Måned!$C$5:$C$2000,MONTH(M$5+3))=0,"",MAX(1,MIN(5,SUMIFS(Måned!$H$5:$H$2000,Måned!$A$5:$A$2000,$A19,Måned!$C$5:$C$2000,MONTH(M$5+3))+SUMPRODUCT((Vinduer!$A$5:$A$300=$A19)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19" s="19">
        <f>IF($A19="","",IF(COUNTIFS(Måned!$A$5:$A$2000,$A19,Måned!$C$5:$C$2000,MONTH(N$5+3))=0,"",MAX(1,MIN(5,SUMIFS(Måned!$H$5:$H$2000,Måned!$A$5:$A$2000,$A19,Måned!$C$5:$C$2000,MONTH(N$5+3))+SUMPRODUCT((Vinduer!$A$5:$A$300=$A19)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19" s="19">
        <f>IF($A19="","",IF(COUNTIFS(Måned!$A$5:$A$2000,$A19,Måned!$C$5:$C$2000,MONTH(O$5+3))=0,"",MAX(1,MIN(5,SUMIFS(Måned!$H$5:$H$2000,Måned!$A$5:$A$2000,$A19,Måned!$C$5:$C$2000,MONTH(O$5+3))+SUMPRODUCT((Vinduer!$A$5:$A$300=$A19)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19" s="19">
        <f>IF($A19="","",IF(COUNTIFS(Måned!$A$5:$A$2000,$A19,Måned!$C$5:$C$2000,MONTH(P$5+3))=0,"",MAX(1,MIN(5,SUMIFS(Måned!$H$5:$H$2000,Måned!$A$5:$A$2000,$A19,Måned!$C$5:$C$2000,MONTH(P$5+3))+SUMPRODUCT((Vinduer!$A$5:$A$300=$A19)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19" s="19">
        <f>IF($A19="","",IF(COUNTIFS(Måned!$A$5:$A$2000,$A19,Måned!$C$5:$C$2000,MONTH(Q$5+3))=0,"",MAX(1,MIN(5,SUMIFS(Måned!$H$5:$H$2000,Måned!$A$5:$A$2000,$A19,Måned!$C$5:$C$2000,MONTH(Q$5+3))+SUMPRODUCT((Vinduer!$A$5:$A$300=$A19)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19" s="19">
        <f>IF($A19="","",IF(COUNTIFS(Måned!$A$5:$A$2000,$A19,Måned!$C$5:$C$2000,MONTH(R$5+3))=0,"",MAX(1,MIN(5,SUMIFS(Måned!$H$5:$H$2000,Måned!$A$5:$A$2000,$A19,Måned!$C$5:$C$2000,MONTH(R$5+3))+SUMPRODUCT((Vinduer!$A$5:$A$300=$A19)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19" s="19">
        <f>IF($A19="","",IF(COUNTIFS(Måned!$A$5:$A$2000,$A19,Måned!$C$5:$C$2000,MONTH(S$5+3))=0,"",MAX(1,MIN(5,SUMIFS(Måned!$H$5:$H$2000,Måned!$A$5:$A$2000,$A19,Måned!$C$5:$C$2000,MONTH(S$5+3))+SUMPRODUCT((Vinduer!$A$5:$A$300=$A19)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19" s="19">
        <f>IF($A19="","",IF(COUNTIFS(Måned!$A$5:$A$2000,$A19,Måned!$C$5:$C$2000,MONTH(T$5+3))=0,"",MAX(1,MIN(5,SUMIFS(Måned!$H$5:$H$2000,Måned!$A$5:$A$2000,$A19,Måned!$C$5:$C$2000,MONTH(T$5+3))+SUMPRODUCT((Vinduer!$A$5:$A$300=$A19)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19" s="19">
        <f>IF($A19="","",IF(COUNTIFS(Måned!$A$5:$A$2000,$A19,Måned!$C$5:$C$2000,MONTH(U$5+3))=0,"",MAX(1,MIN(5,SUMIFS(Måned!$H$5:$H$2000,Måned!$A$5:$A$2000,$A19,Måned!$C$5:$C$2000,MONTH(U$5+3))+SUMPRODUCT((Vinduer!$A$5:$A$300=$A19)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19" s="19">
        <f>IF($A19="","",IF(COUNTIFS(Måned!$A$5:$A$2000,$A19,Måned!$C$5:$C$2000,MONTH(V$5+3))=0,"",MAX(1,MIN(5,SUMIFS(Måned!$H$5:$H$2000,Måned!$A$5:$A$2000,$A19,Måned!$C$5:$C$2000,MONTH(V$5+3))+SUMPRODUCT((Vinduer!$A$5:$A$300=$A19)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19" s="19">
        <f>IF($A19="","",IF(COUNTIFS(Måned!$A$5:$A$2000,$A19,Måned!$C$5:$C$2000,MONTH(W$5+3))=0,"",MAX(1,MIN(5,SUMIFS(Måned!$H$5:$H$2000,Måned!$A$5:$A$2000,$A19,Måned!$C$5:$C$2000,MONTH(W$5+3))+SUMPRODUCT((Vinduer!$A$5:$A$300=$A19)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19" s="19">
        <f>IF($A19="","",IF(COUNTIFS(Måned!$A$5:$A$2000,$A19,Måned!$C$5:$C$2000,MONTH(X$5+3))=0,"",MAX(1,MIN(5,SUMIFS(Måned!$H$5:$H$2000,Måned!$A$5:$A$2000,$A19,Måned!$C$5:$C$2000,MONTH(X$5+3))+SUMPRODUCT((Vinduer!$A$5:$A$300=$A19)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19" s="19">
        <f>IF($A19="","",IF(COUNTIFS(Måned!$A$5:$A$2000,$A19,Måned!$C$5:$C$2000,MONTH(Y$5+3))=0,"",MAX(1,MIN(5,SUMIFS(Måned!$H$5:$H$2000,Måned!$A$5:$A$2000,$A19,Måned!$C$5:$C$2000,MONTH(Y$5+3))+SUMPRODUCT((Vinduer!$A$5:$A$300=$A19)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19" s="19">
        <f>IF($A19="","",IF(COUNTIFS(Måned!$A$5:$A$2000,$A19,Måned!$C$5:$C$2000,MONTH(Z$5+3))=0,"",MAX(1,MIN(5,SUMIFS(Måned!$H$5:$H$2000,Måned!$A$5:$A$2000,$A19,Måned!$C$5:$C$2000,MONTH(Z$5+3))+SUMPRODUCT((Vinduer!$A$5:$A$300=$A19)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19" s="19">
        <f>IF($A19="","",IF(COUNTIFS(Måned!$A$5:$A$2000,$A19,Måned!$C$5:$C$2000,MONTH(AA$5+3))=0,"",MAX(1,MIN(5,SUMIFS(Måned!$H$5:$H$2000,Måned!$A$5:$A$2000,$A19,Måned!$C$5:$C$2000,MONTH(AA$5+3))+SUMPRODUCT((Vinduer!$A$5:$A$300=$A19)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19" s="19">
        <f>IF($A19="","",IF(COUNTIFS(Måned!$A$5:$A$2000,$A19,Måned!$C$5:$C$2000,MONTH(AB$5+3))=0,"",MAX(1,MIN(5,SUMIFS(Måned!$H$5:$H$2000,Måned!$A$5:$A$2000,$A19,Måned!$C$5:$C$2000,MONTH(AB$5+3))+SUMPRODUCT((Vinduer!$A$5:$A$300=$A19)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19" s="19">
        <f>IF($A19="","",IF(COUNTIFS(Måned!$A$5:$A$2000,$A19,Måned!$C$5:$C$2000,MONTH(AC$5+3))=0,"",MAX(1,MIN(5,SUMIFS(Måned!$H$5:$H$2000,Måned!$A$5:$A$2000,$A19,Måned!$C$5:$C$2000,MONTH(AC$5+3))+SUMPRODUCT((Vinduer!$A$5:$A$300=$A19)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19" s="19">
        <f>IF($A19="","",IF(COUNTIFS(Måned!$A$5:$A$2000,$A19,Måned!$C$5:$C$2000,MONTH(AD$5+3))=0,"",MAX(1,MIN(5,SUMIFS(Måned!$H$5:$H$2000,Måned!$A$5:$A$2000,$A19,Måned!$C$5:$C$2000,MONTH(AD$5+3))+SUMPRODUCT((Vinduer!$A$5:$A$300=$A19)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19" s="19">
        <f>IF($A19="","",IF(COUNTIFS(Måned!$A$5:$A$2000,$A19,Måned!$C$5:$C$2000,MONTH(AE$5+3))=0,"",MAX(1,MIN(5,SUMIFS(Måned!$H$5:$H$2000,Måned!$A$5:$A$2000,$A19,Måned!$C$5:$C$2000,MONTH(AE$5+3))+SUMPRODUCT((Vinduer!$A$5:$A$300=$A19)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19" s="19">
        <f>IF($A19="","",IF(COUNTIFS(Måned!$A$5:$A$2000,$A19,Måned!$C$5:$C$2000,MONTH(AF$5+3))=0,"",MAX(1,MIN(5,SUMIFS(Måned!$H$5:$H$2000,Måned!$A$5:$A$2000,$A19,Måned!$C$5:$C$2000,MONTH(AF$5+3))+SUMPRODUCT((Vinduer!$A$5:$A$300=$A19)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19" s="19">
        <f>IF($A19="","",IF(COUNTIFS(Måned!$A$5:$A$2000,$A19,Måned!$C$5:$C$2000,MONTH(AG$5+3))=0,"",MAX(1,MIN(5,SUMIFS(Måned!$H$5:$H$2000,Måned!$A$5:$A$2000,$A19,Måned!$C$5:$C$2000,MONTH(AG$5+3))+SUMPRODUCT((Vinduer!$A$5:$A$300=$A19)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19" s="19">
        <f>IF($A19="","",IF(COUNTIFS(Måned!$A$5:$A$2000,$A19,Måned!$C$5:$C$2000,MONTH(AH$5+3))=0,"",MAX(1,MIN(5,SUMIFS(Måned!$H$5:$H$2000,Måned!$A$5:$A$2000,$A19,Måned!$C$5:$C$2000,MONTH(AH$5+3))+SUMPRODUCT((Vinduer!$A$5:$A$300=$A19)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19" s="19">
        <f>IF($A19="","",IF(COUNTIFS(Måned!$A$5:$A$2000,$A19,Måned!$C$5:$C$2000,MONTH(AI$5+3))=0,"",MAX(1,MIN(5,SUMIFS(Måned!$H$5:$H$2000,Måned!$A$5:$A$2000,$A19,Måned!$C$5:$C$2000,MONTH(AI$5+3))+SUMPRODUCT((Vinduer!$A$5:$A$300=$A19)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19" s="19">
        <f>IF($A19="","",IF(COUNTIFS(Måned!$A$5:$A$2000,$A19,Måned!$C$5:$C$2000,MONTH(AJ$5+3))=0,"",MAX(1,MIN(5,SUMIFS(Måned!$H$5:$H$2000,Måned!$A$5:$A$2000,$A19,Måned!$C$5:$C$2000,MONTH(AJ$5+3))+SUMPRODUCT((Vinduer!$A$5:$A$300=$A19)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19" s="19">
        <f>IF($A19="","",IF(COUNTIFS(Måned!$A$5:$A$2000,$A19,Måned!$C$5:$C$2000,MONTH(AK$5+3))=0,"",MAX(1,MIN(5,SUMIFS(Måned!$H$5:$H$2000,Måned!$A$5:$A$2000,$A19,Måned!$C$5:$C$2000,MONTH(AK$5+3))+SUMPRODUCT((Vinduer!$A$5:$A$300=$A19)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19" s="19">
        <f>IF($A19="","",IF(COUNTIFS(Måned!$A$5:$A$2000,$A19,Måned!$C$5:$C$2000,MONTH(AL$5+3))=0,"",MAX(1,MIN(5,SUMIFS(Måned!$H$5:$H$2000,Måned!$A$5:$A$2000,$A19,Måned!$C$5:$C$2000,MONTH(AL$5+3))+SUMPRODUCT((Vinduer!$A$5:$A$300=$A19)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19" s="19">
        <f>IF($A19="","",IF(COUNTIFS(Måned!$A$5:$A$2000,$A19,Måned!$C$5:$C$2000,MONTH(AM$5+3))=0,"",MAX(1,MIN(5,SUMIFS(Måned!$H$5:$H$2000,Måned!$A$5:$A$2000,$A19,Måned!$C$5:$C$2000,MONTH(AM$5+3))+SUMPRODUCT((Vinduer!$A$5:$A$300=$A19)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19" s="19">
        <f>IF($A19="","",IF(COUNTIFS(Måned!$A$5:$A$2000,$A19,Måned!$C$5:$C$2000,MONTH(AN$5+3))=0,"",MAX(1,MIN(5,SUMIFS(Måned!$H$5:$H$2000,Måned!$A$5:$A$2000,$A19,Måned!$C$5:$C$2000,MONTH(AN$5+3))+SUMPRODUCT((Vinduer!$A$5:$A$300=$A19)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19" s="19">
        <f>IF($A19="","",IF(COUNTIFS(Måned!$A$5:$A$2000,$A19,Måned!$C$5:$C$2000,MONTH(AO$5+3))=0,"",MAX(1,MIN(5,SUMIFS(Måned!$H$5:$H$2000,Måned!$A$5:$A$2000,$A19,Måned!$C$5:$C$2000,MONTH(AO$5+3))+SUMPRODUCT((Vinduer!$A$5:$A$300=$A19)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19" s="19">
        <f>IF($A19="","",IF(COUNTIFS(Måned!$A$5:$A$2000,$A19,Måned!$C$5:$C$2000,MONTH(AP$5+3))=0,"",MAX(1,MIN(5,SUMIFS(Måned!$H$5:$H$2000,Måned!$A$5:$A$2000,$A19,Måned!$C$5:$C$2000,MONTH(AP$5+3))+SUMPRODUCT((Vinduer!$A$5:$A$300=$A19)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19" s="19">
        <f>IF($A19="","",IF(COUNTIFS(Måned!$A$5:$A$2000,$A19,Måned!$C$5:$C$2000,MONTH(AQ$5+3))=0,"",MAX(1,MIN(5,SUMIFS(Måned!$H$5:$H$2000,Måned!$A$5:$A$2000,$A19,Måned!$C$5:$C$2000,MONTH(AQ$5+3))+SUMPRODUCT((Vinduer!$A$5:$A$300=$A19)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19" s="19">
        <f>IF($A19="","",IF(COUNTIFS(Måned!$A$5:$A$2000,$A19,Måned!$C$5:$C$2000,MONTH(AR$5+3))=0,"",MAX(1,MIN(5,SUMIFS(Måned!$H$5:$H$2000,Måned!$A$5:$A$2000,$A19,Måned!$C$5:$C$2000,MONTH(AR$5+3))+SUMPRODUCT((Vinduer!$A$5:$A$300=$A19)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19" s="19">
        <f>IF($A19="","",IF(COUNTIFS(Måned!$A$5:$A$2000,$A19,Måned!$C$5:$C$2000,MONTH(AS$5+3))=0,"",MAX(1,MIN(5,SUMIFS(Måned!$H$5:$H$2000,Måned!$A$5:$A$2000,$A19,Måned!$C$5:$C$2000,MONTH(AS$5+3))+SUMPRODUCT((Vinduer!$A$5:$A$300=$A19)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19" s="19">
        <f>IF($A19="","",IF(COUNTIFS(Måned!$A$5:$A$2000,$A19,Måned!$C$5:$C$2000,MONTH(AT$5+3))=0,"",MAX(1,MIN(5,SUMIFS(Måned!$H$5:$H$2000,Måned!$A$5:$A$2000,$A19,Måned!$C$5:$C$2000,MONTH(AT$5+3))+SUMPRODUCT((Vinduer!$A$5:$A$300=$A19)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19" s="19">
        <f>IF($A19="","",IF(COUNTIFS(Måned!$A$5:$A$2000,$A19,Måned!$C$5:$C$2000,MONTH(AU$5+3))=0,"",MAX(1,MIN(5,SUMIFS(Måned!$H$5:$H$2000,Måned!$A$5:$A$2000,$A19,Måned!$C$5:$C$2000,MONTH(AU$5+3))+SUMPRODUCT((Vinduer!$A$5:$A$300=$A19)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19" s="19">
        <f>IF($A19="","",IF(COUNTIFS(Måned!$A$5:$A$2000,$A19,Måned!$C$5:$C$2000,MONTH(AV$5+3))=0,"",MAX(1,MIN(5,SUMIFS(Måned!$H$5:$H$2000,Måned!$A$5:$A$2000,$A19,Måned!$C$5:$C$2000,MONTH(AV$5+3))+SUMPRODUCT((Vinduer!$A$5:$A$300=$A19)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19" s="19">
        <f>IF($A19="","",IF(COUNTIFS(Måned!$A$5:$A$2000,$A19,Måned!$C$5:$C$2000,MONTH(AW$5+3))=0,"",MAX(1,MIN(5,SUMIFS(Måned!$H$5:$H$2000,Måned!$A$5:$A$2000,$A19,Måned!$C$5:$C$2000,MONTH(AW$5+3))+SUMPRODUCT((Vinduer!$A$5:$A$300=$A19)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19" s="19">
        <f>IF($A19="","",IF(COUNTIFS(Måned!$A$5:$A$2000,$A19,Måned!$C$5:$C$2000,MONTH(AX$5+3))=0,"",MAX(1,MIN(5,SUMIFS(Måned!$H$5:$H$2000,Måned!$A$5:$A$2000,$A19,Måned!$C$5:$C$2000,MONTH(AX$5+3))+SUMPRODUCT((Vinduer!$A$5:$A$300=$A19)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19" s="19">
        <f>IF($A19="","",IF(COUNTIFS(Måned!$A$5:$A$2000,$A19,Måned!$C$5:$C$2000,MONTH(AY$5+3))=0,"",MAX(1,MIN(5,SUMIFS(Måned!$H$5:$H$2000,Måned!$A$5:$A$2000,$A19,Måned!$C$5:$C$2000,MONTH(AY$5+3))+SUMPRODUCT((Vinduer!$A$5:$A$300=$A19)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19" s="19">
        <f>IF($A19="","",IF(COUNTIFS(Måned!$A$5:$A$2000,$A19,Måned!$C$5:$C$2000,MONTH(AZ$5+3))=0,"",MAX(1,MIN(5,SUMIFS(Måned!$H$5:$H$2000,Måned!$A$5:$A$2000,$A19,Måned!$C$5:$C$2000,MONTH(AZ$5+3))+SUMPRODUCT((Vinduer!$A$5:$A$300=$A19)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19" s="19">
        <f>IF($A19="","",IF(COUNTIFS(Måned!$A$5:$A$2000,$A19,Måned!$C$5:$C$2000,MONTH(BA$5+3))=0,"",MAX(1,MIN(5,SUMIFS(Måned!$H$5:$H$2000,Måned!$A$5:$A$2000,$A19,Måned!$C$5:$C$2000,MONTH(BA$5+3))+SUMPRODUCT((Vinduer!$A$5:$A$300=$A19)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19" s="19">
        <f>IF($A19="","",IF(COUNTIFS(Måned!$A$5:$A$2000,$A19,Måned!$C$5:$C$2000,MONTH(BB$5+3))=0,"",MAX(1,MIN(5,SUMIFS(Måned!$H$5:$H$2000,Måned!$A$5:$A$2000,$A19,Måned!$C$5:$C$2000,MONTH(BB$5+3))+SUMPRODUCT((Vinduer!$A$5:$A$300=$A19)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19" s="19">
        <f>IF($A19="","",IF(COUNTIFS(Måned!$A$5:$A$2000,$A19,Måned!$C$5:$C$2000,MONTH(BC$5+3))=0,"",MAX(1,MIN(5,SUMIFS(Måned!$H$5:$H$2000,Måned!$A$5:$A$2000,$A19,Måned!$C$5:$C$2000,MONTH(BC$5+3))+SUMPRODUCT((Vinduer!$A$5:$A$300=$A19)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19" s="19">
        <f>IF($A19="","",IF(COUNTIFS(Måned!$A$5:$A$2000,$A19,Måned!$C$5:$C$2000,MONTH(BD$5+3))=0,"",MAX(1,MIN(5,SUMIFS(Måned!$H$5:$H$2000,Måned!$A$5:$A$2000,$A19,Måned!$C$5:$C$2000,MONTH(BD$5+3))+SUMPRODUCT((Vinduer!$A$5:$A$300=$A19)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19" s="19">
        <f>IF($A19="","",IF(COUNTIFS(Måned!$A$5:$A$2000,$A19,Måned!$C$5:$C$2000,MONTH(BE$5+3))=0,"",MAX(1,MIN(5,SUMIFS(Måned!$H$5:$H$2000,Måned!$A$5:$A$2000,$A19,Måned!$C$5:$C$2000,MONTH(BE$5+3))+SUMPRODUCT((Vinduer!$A$5:$A$300=$A19)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0">
      <c r="A20" s="5">
        <f>IF(Destinasjoner!A16="","",Destinasjoner!A16)</f>
        <v/>
      </c>
      <c r="B20" s="5">
        <f>IF(A20="","",Destinasjoner!E16)</f>
        <v/>
      </c>
      <c r="C20" s="5">
        <f>IF(A20="","",Destinasjoner!B16)</f>
        <v/>
      </c>
      <c r="D20" s="17">
        <f>IFERROR(SUMIFS(F20:BE20,$F$7:$BE$7,"x")/COUNTIFS($F$7:$BE$7,"x",F20:BE20,"&gt;0"),"")</f>
        <v/>
      </c>
      <c r="E20" s="18">
        <f>IF(D20="","",_xlfn.MINIFS(F20:BE20,$F$7:$BE$7,"x",F20:BE20,"&gt;0"))</f>
        <v/>
      </c>
      <c r="F20" s="19">
        <f>IF($A20="","",IF(COUNTIFS(Måned!$A$5:$A$2000,$A20,Måned!$C$5:$C$2000,MONTH(F$5+3))=0,"",MAX(1,MIN(5,SUMIFS(Måned!$H$5:$H$2000,Måned!$A$5:$A$2000,$A20,Måned!$C$5:$C$2000,MONTH(F$5+3))+SUMPRODUCT((Vinduer!$A$5:$A$300=$A20)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0" s="19">
        <f>IF($A20="","",IF(COUNTIFS(Måned!$A$5:$A$2000,$A20,Måned!$C$5:$C$2000,MONTH(G$5+3))=0,"",MAX(1,MIN(5,SUMIFS(Måned!$H$5:$H$2000,Måned!$A$5:$A$2000,$A20,Måned!$C$5:$C$2000,MONTH(G$5+3))+SUMPRODUCT((Vinduer!$A$5:$A$300=$A20)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0" s="19">
        <f>IF($A20="","",IF(COUNTIFS(Måned!$A$5:$A$2000,$A20,Måned!$C$5:$C$2000,MONTH(H$5+3))=0,"",MAX(1,MIN(5,SUMIFS(Måned!$H$5:$H$2000,Måned!$A$5:$A$2000,$A20,Måned!$C$5:$C$2000,MONTH(H$5+3))+SUMPRODUCT((Vinduer!$A$5:$A$300=$A20)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0" s="19">
        <f>IF($A20="","",IF(COUNTIFS(Måned!$A$5:$A$2000,$A20,Måned!$C$5:$C$2000,MONTH(I$5+3))=0,"",MAX(1,MIN(5,SUMIFS(Måned!$H$5:$H$2000,Måned!$A$5:$A$2000,$A20,Måned!$C$5:$C$2000,MONTH(I$5+3))+SUMPRODUCT((Vinduer!$A$5:$A$300=$A20)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0" s="19">
        <f>IF($A20="","",IF(COUNTIFS(Måned!$A$5:$A$2000,$A20,Måned!$C$5:$C$2000,MONTH(J$5+3))=0,"",MAX(1,MIN(5,SUMIFS(Måned!$H$5:$H$2000,Måned!$A$5:$A$2000,$A20,Måned!$C$5:$C$2000,MONTH(J$5+3))+SUMPRODUCT((Vinduer!$A$5:$A$300=$A20)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0" s="19">
        <f>IF($A20="","",IF(COUNTIFS(Måned!$A$5:$A$2000,$A20,Måned!$C$5:$C$2000,MONTH(K$5+3))=0,"",MAX(1,MIN(5,SUMIFS(Måned!$H$5:$H$2000,Måned!$A$5:$A$2000,$A20,Måned!$C$5:$C$2000,MONTH(K$5+3))+SUMPRODUCT((Vinduer!$A$5:$A$300=$A20)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0" s="19">
        <f>IF($A20="","",IF(COUNTIFS(Måned!$A$5:$A$2000,$A20,Måned!$C$5:$C$2000,MONTH(L$5+3))=0,"",MAX(1,MIN(5,SUMIFS(Måned!$H$5:$H$2000,Måned!$A$5:$A$2000,$A20,Måned!$C$5:$C$2000,MONTH(L$5+3))+SUMPRODUCT((Vinduer!$A$5:$A$300=$A20)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0" s="19">
        <f>IF($A20="","",IF(COUNTIFS(Måned!$A$5:$A$2000,$A20,Måned!$C$5:$C$2000,MONTH(M$5+3))=0,"",MAX(1,MIN(5,SUMIFS(Måned!$H$5:$H$2000,Måned!$A$5:$A$2000,$A20,Måned!$C$5:$C$2000,MONTH(M$5+3))+SUMPRODUCT((Vinduer!$A$5:$A$300=$A20)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0" s="19">
        <f>IF($A20="","",IF(COUNTIFS(Måned!$A$5:$A$2000,$A20,Måned!$C$5:$C$2000,MONTH(N$5+3))=0,"",MAX(1,MIN(5,SUMIFS(Måned!$H$5:$H$2000,Måned!$A$5:$A$2000,$A20,Måned!$C$5:$C$2000,MONTH(N$5+3))+SUMPRODUCT((Vinduer!$A$5:$A$300=$A20)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0" s="19">
        <f>IF($A20="","",IF(COUNTIFS(Måned!$A$5:$A$2000,$A20,Måned!$C$5:$C$2000,MONTH(O$5+3))=0,"",MAX(1,MIN(5,SUMIFS(Måned!$H$5:$H$2000,Måned!$A$5:$A$2000,$A20,Måned!$C$5:$C$2000,MONTH(O$5+3))+SUMPRODUCT((Vinduer!$A$5:$A$300=$A20)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0" s="19">
        <f>IF($A20="","",IF(COUNTIFS(Måned!$A$5:$A$2000,$A20,Måned!$C$5:$C$2000,MONTH(P$5+3))=0,"",MAX(1,MIN(5,SUMIFS(Måned!$H$5:$H$2000,Måned!$A$5:$A$2000,$A20,Måned!$C$5:$C$2000,MONTH(P$5+3))+SUMPRODUCT((Vinduer!$A$5:$A$300=$A20)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0" s="19">
        <f>IF($A20="","",IF(COUNTIFS(Måned!$A$5:$A$2000,$A20,Måned!$C$5:$C$2000,MONTH(Q$5+3))=0,"",MAX(1,MIN(5,SUMIFS(Måned!$H$5:$H$2000,Måned!$A$5:$A$2000,$A20,Måned!$C$5:$C$2000,MONTH(Q$5+3))+SUMPRODUCT((Vinduer!$A$5:$A$300=$A20)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0" s="19">
        <f>IF($A20="","",IF(COUNTIFS(Måned!$A$5:$A$2000,$A20,Måned!$C$5:$C$2000,MONTH(R$5+3))=0,"",MAX(1,MIN(5,SUMIFS(Måned!$H$5:$H$2000,Måned!$A$5:$A$2000,$A20,Måned!$C$5:$C$2000,MONTH(R$5+3))+SUMPRODUCT((Vinduer!$A$5:$A$300=$A20)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0" s="19">
        <f>IF($A20="","",IF(COUNTIFS(Måned!$A$5:$A$2000,$A20,Måned!$C$5:$C$2000,MONTH(S$5+3))=0,"",MAX(1,MIN(5,SUMIFS(Måned!$H$5:$H$2000,Måned!$A$5:$A$2000,$A20,Måned!$C$5:$C$2000,MONTH(S$5+3))+SUMPRODUCT((Vinduer!$A$5:$A$300=$A20)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0" s="19">
        <f>IF($A20="","",IF(COUNTIFS(Måned!$A$5:$A$2000,$A20,Måned!$C$5:$C$2000,MONTH(T$5+3))=0,"",MAX(1,MIN(5,SUMIFS(Måned!$H$5:$H$2000,Måned!$A$5:$A$2000,$A20,Måned!$C$5:$C$2000,MONTH(T$5+3))+SUMPRODUCT((Vinduer!$A$5:$A$300=$A20)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0" s="19">
        <f>IF($A20="","",IF(COUNTIFS(Måned!$A$5:$A$2000,$A20,Måned!$C$5:$C$2000,MONTH(U$5+3))=0,"",MAX(1,MIN(5,SUMIFS(Måned!$H$5:$H$2000,Måned!$A$5:$A$2000,$A20,Måned!$C$5:$C$2000,MONTH(U$5+3))+SUMPRODUCT((Vinduer!$A$5:$A$300=$A20)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0" s="19">
        <f>IF($A20="","",IF(COUNTIFS(Måned!$A$5:$A$2000,$A20,Måned!$C$5:$C$2000,MONTH(V$5+3))=0,"",MAX(1,MIN(5,SUMIFS(Måned!$H$5:$H$2000,Måned!$A$5:$A$2000,$A20,Måned!$C$5:$C$2000,MONTH(V$5+3))+SUMPRODUCT((Vinduer!$A$5:$A$300=$A20)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0" s="19">
        <f>IF($A20="","",IF(COUNTIFS(Måned!$A$5:$A$2000,$A20,Måned!$C$5:$C$2000,MONTH(W$5+3))=0,"",MAX(1,MIN(5,SUMIFS(Måned!$H$5:$H$2000,Måned!$A$5:$A$2000,$A20,Måned!$C$5:$C$2000,MONTH(W$5+3))+SUMPRODUCT((Vinduer!$A$5:$A$300=$A20)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0" s="19">
        <f>IF($A20="","",IF(COUNTIFS(Måned!$A$5:$A$2000,$A20,Måned!$C$5:$C$2000,MONTH(X$5+3))=0,"",MAX(1,MIN(5,SUMIFS(Måned!$H$5:$H$2000,Måned!$A$5:$A$2000,$A20,Måned!$C$5:$C$2000,MONTH(X$5+3))+SUMPRODUCT((Vinduer!$A$5:$A$300=$A20)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0" s="19">
        <f>IF($A20="","",IF(COUNTIFS(Måned!$A$5:$A$2000,$A20,Måned!$C$5:$C$2000,MONTH(Y$5+3))=0,"",MAX(1,MIN(5,SUMIFS(Måned!$H$5:$H$2000,Måned!$A$5:$A$2000,$A20,Måned!$C$5:$C$2000,MONTH(Y$5+3))+SUMPRODUCT((Vinduer!$A$5:$A$300=$A20)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0" s="19">
        <f>IF($A20="","",IF(COUNTIFS(Måned!$A$5:$A$2000,$A20,Måned!$C$5:$C$2000,MONTH(Z$5+3))=0,"",MAX(1,MIN(5,SUMIFS(Måned!$H$5:$H$2000,Måned!$A$5:$A$2000,$A20,Måned!$C$5:$C$2000,MONTH(Z$5+3))+SUMPRODUCT((Vinduer!$A$5:$A$300=$A20)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0" s="19">
        <f>IF($A20="","",IF(COUNTIFS(Måned!$A$5:$A$2000,$A20,Måned!$C$5:$C$2000,MONTH(AA$5+3))=0,"",MAX(1,MIN(5,SUMIFS(Måned!$H$5:$H$2000,Måned!$A$5:$A$2000,$A20,Måned!$C$5:$C$2000,MONTH(AA$5+3))+SUMPRODUCT((Vinduer!$A$5:$A$300=$A20)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0" s="19">
        <f>IF($A20="","",IF(COUNTIFS(Måned!$A$5:$A$2000,$A20,Måned!$C$5:$C$2000,MONTH(AB$5+3))=0,"",MAX(1,MIN(5,SUMIFS(Måned!$H$5:$H$2000,Måned!$A$5:$A$2000,$A20,Måned!$C$5:$C$2000,MONTH(AB$5+3))+SUMPRODUCT((Vinduer!$A$5:$A$300=$A20)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0" s="19">
        <f>IF($A20="","",IF(COUNTIFS(Måned!$A$5:$A$2000,$A20,Måned!$C$5:$C$2000,MONTH(AC$5+3))=0,"",MAX(1,MIN(5,SUMIFS(Måned!$H$5:$H$2000,Måned!$A$5:$A$2000,$A20,Måned!$C$5:$C$2000,MONTH(AC$5+3))+SUMPRODUCT((Vinduer!$A$5:$A$300=$A20)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0" s="19">
        <f>IF($A20="","",IF(COUNTIFS(Måned!$A$5:$A$2000,$A20,Måned!$C$5:$C$2000,MONTH(AD$5+3))=0,"",MAX(1,MIN(5,SUMIFS(Måned!$H$5:$H$2000,Måned!$A$5:$A$2000,$A20,Måned!$C$5:$C$2000,MONTH(AD$5+3))+SUMPRODUCT((Vinduer!$A$5:$A$300=$A20)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0" s="19">
        <f>IF($A20="","",IF(COUNTIFS(Måned!$A$5:$A$2000,$A20,Måned!$C$5:$C$2000,MONTH(AE$5+3))=0,"",MAX(1,MIN(5,SUMIFS(Måned!$H$5:$H$2000,Måned!$A$5:$A$2000,$A20,Måned!$C$5:$C$2000,MONTH(AE$5+3))+SUMPRODUCT((Vinduer!$A$5:$A$300=$A20)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0" s="19">
        <f>IF($A20="","",IF(COUNTIFS(Måned!$A$5:$A$2000,$A20,Måned!$C$5:$C$2000,MONTH(AF$5+3))=0,"",MAX(1,MIN(5,SUMIFS(Måned!$H$5:$H$2000,Måned!$A$5:$A$2000,$A20,Måned!$C$5:$C$2000,MONTH(AF$5+3))+SUMPRODUCT((Vinduer!$A$5:$A$300=$A20)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0" s="19">
        <f>IF($A20="","",IF(COUNTIFS(Måned!$A$5:$A$2000,$A20,Måned!$C$5:$C$2000,MONTH(AG$5+3))=0,"",MAX(1,MIN(5,SUMIFS(Måned!$H$5:$H$2000,Måned!$A$5:$A$2000,$A20,Måned!$C$5:$C$2000,MONTH(AG$5+3))+SUMPRODUCT((Vinduer!$A$5:$A$300=$A20)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0" s="19">
        <f>IF($A20="","",IF(COUNTIFS(Måned!$A$5:$A$2000,$A20,Måned!$C$5:$C$2000,MONTH(AH$5+3))=0,"",MAX(1,MIN(5,SUMIFS(Måned!$H$5:$H$2000,Måned!$A$5:$A$2000,$A20,Måned!$C$5:$C$2000,MONTH(AH$5+3))+SUMPRODUCT((Vinduer!$A$5:$A$300=$A20)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0" s="19">
        <f>IF($A20="","",IF(COUNTIFS(Måned!$A$5:$A$2000,$A20,Måned!$C$5:$C$2000,MONTH(AI$5+3))=0,"",MAX(1,MIN(5,SUMIFS(Måned!$H$5:$H$2000,Måned!$A$5:$A$2000,$A20,Måned!$C$5:$C$2000,MONTH(AI$5+3))+SUMPRODUCT((Vinduer!$A$5:$A$300=$A20)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0" s="19">
        <f>IF($A20="","",IF(COUNTIFS(Måned!$A$5:$A$2000,$A20,Måned!$C$5:$C$2000,MONTH(AJ$5+3))=0,"",MAX(1,MIN(5,SUMIFS(Måned!$H$5:$H$2000,Måned!$A$5:$A$2000,$A20,Måned!$C$5:$C$2000,MONTH(AJ$5+3))+SUMPRODUCT((Vinduer!$A$5:$A$300=$A20)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0" s="19">
        <f>IF($A20="","",IF(COUNTIFS(Måned!$A$5:$A$2000,$A20,Måned!$C$5:$C$2000,MONTH(AK$5+3))=0,"",MAX(1,MIN(5,SUMIFS(Måned!$H$5:$H$2000,Måned!$A$5:$A$2000,$A20,Måned!$C$5:$C$2000,MONTH(AK$5+3))+SUMPRODUCT((Vinduer!$A$5:$A$300=$A20)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0" s="19">
        <f>IF($A20="","",IF(COUNTIFS(Måned!$A$5:$A$2000,$A20,Måned!$C$5:$C$2000,MONTH(AL$5+3))=0,"",MAX(1,MIN(5,SUMIFS(Måned!$H$5:$H$2000,Måned!$A$5:$A$2000,$A20,Måned!$C$5:$C$2000,MONTH(AL$5+3))+SUMPRODUCT((Vinduer!$A$5:$A$300=$A20)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0" s="19">
        <f>IF($A20="","",IF(COUNTIFS(Måned!$A$5:$A$2000,$A20,Måned!$C$5:$C$2000,MONTH(AM$5+3))=0,"",MAX(1,MIN(5,SUMIFS(Måned!$H$5:$H$2000,Måned!$A$5:$A$2000,$A20,Måned!$C$5:$C$2000,MONTH(AM$5+3))+SUMPRODUCT((Vinduer!$A$5:$A$300=$A20)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0" s="19">
        <f>IF($A20="","",IF(COUNTIFS(Måned!$A$5:$A$2000,$A20,Måned!$C$5:$C$2000,MONTH(AN$5+3))=0,"",MAX(1,MIN(5,SUMIFS(Måned!$H$5:$H$2000,Måned!$A$5:$A$2000,$A20,Måned!$C$5:$C$2000,MONTH(AN$5+3))+SUMPRODUCT((Vinduer!$A$5:$A$300=$A20)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0" s="19">
        <f>IF($A20="","",IF(COUNTIFS(Måned!$A$5:$A$2000,$A20,Måned!$C$5:$C$2000,MONTH(AO$5+3))=0,"",MAX(1,MIN(5,SUMIFS(Måned!$H$5:$H$2000,Måned!$A$5:$A$2000,$A20,Måned!$C$5:$C$2000,MONTH(AO$5+3))+SUMPRODUCT((Vinduer!$A$5:$A$300=$A20)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0" s="19">
        <f>IF($A20="","",IF(COUNTIFS(Måned!$A$5:$A$2000,$A20,Måned!$C$5:$C$2000,MONTH(AP$5+3))=0,"",MAX(1,MIN(5,SUMIFS(Måned!$H$5:$H$2000,Måned!$A$5:$A$2000,$A20,Måned!$C$5:$C$2000,MONTH(AP$5+3))+SUMPRODUCT((Vinduer!$A$5:$A$300=$A20)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0" s="19">
        <f>IF($A20="","",IF(COUNTIFS(Måned!$A$5:$A$2000,$A20,Måned!$C$5:$C$2000,MONTH(AQ$5+3))=0,"",MAX(1,MIN(5,SUMIFS(Måned!$H$5:$H$2000,Måned!$A$5:$A$2000,$A20,Måned!$C$5:$C$2000,MONTH(AQ$5+3))+SUMPRODUCT((Vinduer!$A$5:$A$300=$A20)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0" s="19">
        <f>IF($A20="","",IF(COUNTIFS(Måned!$A$5:$A$2000,$A20,Måned!$C$5:$C$2000,MONTH(AR$5+3))=0,"",MAX(1,MIN(5,SUMIFS(Måned!$H$5:$H$2000,Måned!$A$5:$A$2000,$A20,Måned!$C$5:$C$2000,MONTH(AR$5+3))+SUMPRODUCT((Vinduer!$A$5:$A$300=$A20)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0" s="19">
        <f>IF($A20="","",IF(COUNTIFS(Måned!$A$5:$A$2000,$A20,Måned!$C$5:$C$2000,MONTH(AS$5+3))=0,"",MAX(1,MIN(5,SUMIFS(Måned!$H$5:$H$2000,Måned!$A$5:$A$2000,$A20,Måned!$C$5:$C$2000,MONTH(AS$5+3))+SUMPRODUCT((Vinduer!$A$5:$A$300=$A20)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0" s="19">
        <f>IF($A20="","",IF(COUNTIFS(Måned!$A$5:$A$2000,$A20,Måned!$C$5:$C$2000,MONTH(AT$5+3))=0,"",MAX(1,MIN(5,SUMIFS(Måned!$H$5:$H$2000,Måned!$A$5:$A$2000,$A20,Måned!$C$5:$C$2000,MONTH(AT$5+3))+SUMPRODUCT((Vinduer!$A$5:$A$300=$A20)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0" s="19">
        <f>IF($A20="","",IF(COUNTIFS(Måned!$A$5:$A$2000,$A20,Måned!$C$5:$C$2000,MONTH(AU$5+3))=0,"",MAX(1,MIN(5,SUMIFS(Måned!$H$5:$H$2000,Måned!$A$5:$A$2000,$A20,Måned!$C$5:$C$2000,MONTH(AU$5+3))+SUMPRODUCT((Vinduer!$A$5:$A$300=$A20)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0" s="19">
        <f>IF($A20="","",IF(COUNTIFS(Måned!$A$5:$A$2000,$A20,Måned!$C$5:$C$2000,MONTH(AV$5+3))=0,"",MAX(1,MIN(5,SUMIFS(Måned!$H$5:$H$2000,Måned!$A$5:$A$2000,$A20,Måned!$C$5:$C$2000,MONTH(AV$5+3))+SUMPRODUCT((Vinduer!$A$5:$A$300=$A20)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0" s="19">
        <f>IF($A20="","",IF(COUNTIFS(Måned!$A$5:$A$2000,$A20,Måned!$C$5:$C$2000,MONTH(AW$5+3))=0,"",MAX(1,MIN(5,SUMIFS(Måned!$H$5:$H$2000,Måned!$A$5:$A$2000,$A20,Måned!$C$5:$C$2000,MONTH(AW$5+3))+SUMPRODUCT((Vinduer!$A$5:$A$300=$A20)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0" s="19">
        <f>IF($A20="","",IF(COUNTIFS(Måned!$A$5:$A$2000,$A20,Måned!$C$5:$C$2000,MONTH(AX$5+3))=0,"",MAX(1,MIN(5,SUMIFS(Måned!$H$5:$H$2000,Måned!$A$5:$A$2000,$A20,Måned!$C$5:$C$2000,MONTH(AX$5+3))+SUMPRODUCT((Vinduer!$A$5:$A$300=$A20)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0" s="19">
        <f>IF($A20="","",IF(COUNTIFS(Måned!$A$5:$A$2000,$A20,Måned!$C$5:$C$2000,MONTH(AY$5+3))=0,"",MAX(1,MIN(5,SUMIFS(Måned!$H$5:$H$2000,Måned!$A$5:$A$2000,$A20,Måned!$C$5:$C$2000,MONTH(AY$5+3))+SUMPRODUCT((Vinduer!$A$5:$A$300=$A20)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0" s="19">
        <f>IF($A20="","",IF(COUNTIFS(Måned!$A$5:$A$2000,$A20,Måned!$C$5:$C$2000,MONTH(AZ$5+3))=0,"",MAX(1,MIN(5,SUMIFS(Måned!$H$5:$H$2000,Måned!$A$5:$A$2000,$A20,Måned!$C$5:$C$2000,MONTH(AZ$5+3))+SUMPRODUCT((Vinduer!$A$5:$A$300=$A20)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0" s="19">
        <f>IF($A20="","",IF(COUNTIFS(Måned!$A$5:$A$2000,$A20,Måned!$C$5:$C$2000,MONTH(BA$5+3))=0,"",MAX(1,MIN(5,SUMIFS(Måned!$H$5:$H$2000,Måned!$A$5:$A$2000,$A20,Måned!$C$5:$C$2000,MONTH(BA$5+3))+SUMPRODUCT((Vinduer!$A$5:$A$300=$A20)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0" s="19">
        <f>IF($A20="","",IF(COUNTIFS(Måned!$A$5:$A$2000,$A20,Måned!$C$5:$C$2000,MONTH(BB$5+3))=0,"",MAX(1,MIN(5,SUMIFS(Måned!$H$5:$H$2000,Måned!$A$5:$A$2000,$A20,Måned!$C$5:$C$2000,MONTH(BB$5+3))+SUMPRODUCT((Vinduer!$A$5:$A$300=$A20)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0" s="19">
        <f>IF($A20="","",IF(COUNTIFS(Måned!$A$5:$A$2000,$A20,Måned!$C$5:$C$2000,MONTH(BC$5+3))=0,"",MAX(1,MIN(5,SUMIFS(Måned!$H$5:$H$2000,Måned!$A$5:$A$2000,$A20,Måned!$C$5:$C$2000,MONTH(BC$5+3))+SUMPRODUCT((Vinduer!$A$5:$A$300=$A20)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0" s="19">
        <f>IF($A20="","",IF(COUNTIFS(Måned!$A$5:$A$2000,$A20,Måned!$C$5:$C$2000,MONTH(BD$5+3))=0,"",MAX(1,MIN(5,SUMIFS(Måned!$H$5:$H$2000,Måned!$A$5:$A$2000,$A20,Måned!$C$5:$C$2000,MONTH(BD$5+3))+SUMPRODUCT((Vinduer!$A$5:$A$300=$A20)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0" s="19">
        <f>IF($A20="","",IF(COUNTIFS(Måned!$A$5:$A$2000,$A20,Måned!$C$5:$C$2000,MONTH(BE$5+3))=0,"",MAX(1,MIN(5,SUMIFS(Måned!$H$5:$H$2000,Måned!$A$5:$A$2000,$A20,Måned!$C$5:$C$2000,MONTH(BE$5+3))+SUMPRODUCT((Vinduer!$A$5:$A$300=$A20)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1">
      <c r="A21" s="5">
        <f>IF(Destinasjoner!A17="","",Destinasjoner!A17)</f>
        <v/>
      </c>
      <c r="B21" s="5">
        <f>IF(A21="","",Destinasjoner!E17)</f>
        <v/>
      </c>
      <c r="C21" s="5">
        <f>IF(A21="","",Destinasjoner!B17)</f>
        <v/>
      </c>
      <c r="D21" s="17">
        <f>IFERROR(SUMIFS(F21:BE21,$F$7:$BE$7,"x")/COUNTIFS($F$7:$BE$7,"x",F21:BE21,"&gt;0"),"")</f>
        <v/>
      </c>
      <c r="E21" s="18">
        <f>IF(D21="","",_xlfn.MINIFS(F21:BE21,$F$7:$BE$7,"x",F21:BE21,"&gt;0"))</f>
        <v/>
      </c>
      <c r="F21" s="19">
        <f>IF($A21="","",IF(COUNTIFS(Måned!$A$5:$A$2000,$A21,Måned!$C$5:$C$2000,MONTH(F$5+3))=0,"",MAX(1,MIN(5,SUMIFS(Måned!$H$5:$H$2000,Måned!$A$5:$A$2000,$A21,Måned!$C$5:$C$2000,MONTH(F$5+3))+SUMPRODUCT((Vinduer!$A$5:$A$300=$A21)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1" s="19">
        <f>IF($A21="","",IF(COUNTIFS(Måned!$A$5:$A$2000,$A21,Måned!$C$5:$C$2000,MONTH(G$5+3))=0,"",MAX(1,MIN(5,SUMIFS(Måned!$H$5:$H$2000,Måned!$A$5:$A$2000,$A21,Måned!$C$5:$C$2000,MONTH(G$5+3))+SUMPRODUCT((Vinduer!$A$5:$A$300=$A21)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1" s="19">
        <f>IF($A21="","",IF(COUNTIFS(Måned!$A$5:$A$2000,$A21,Måned!$C$5:$C$2000,MONTH(H$5+3))=0,"",MAX(1,MIN(5,SUMIFS(Måned!$H$5:$H$2000,Måned!$A$5:$A$2000,$A21,Måned!$C$5:$C$2000,MONTH(H$5+3))+SUMPRODUCT((Vinduer!$A$5:$A$300=$A21)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1" s="19">
        <f>IF($A21="","",IF(COUNTIFS(Måned!$A$5:$A$2000,$A21,Måned!$C$5:$C$2000,MONTH(I$5+3))=0,"",MAX(1,MIN(5,SUMIFS(Måned!$H$5:$H$2000,Måned!$A$5:$A$2000,$A21,Måned!$C$5:$C$2000,MONTH(I$5+3))+SUMPRODUCT((Vinduer!$A$5:$A$300=$A21)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1" s="19">
        <f>IF($A21="","",IF(COUNTIFS(Måned!$A$5:$A$2000,$A21,Måned!$C$5:$C$2000,MONTH(J$5+3))=0,"",MAX(1,MIN(5,SUMIFS(Måned!$H$5:$H$2000,Måned!$A$5:$A$2000,$A21,Måned!$C$5:$C$2000,MONTH(J$5+3))+SUMPRODUCT((Vinduer!$A$5:$A$300=$A21)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1" s="19">
        <f>IF($A21="","",IF(COUNTIFS(Måned!$A$5:$A$2000,$A21,Måned!$C$5:$C$2000,MONTH(K$5+3))=0,"",MAX(1,MIN(5,SUMIFS(Måned!$H$5:$H$2000,Måned!$A$5:$A$2000,$A21,Måned!$C$5:$C$2000,MONTH(K$5+3))+SUMPRODUCT((Vinduer!$A$5:$A$300=$A21)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1" s="19">
        <f>IF($A21="","",IF(COUNTIFS(Måned!$A$5:$A$2000,$A21,Måned!$C$5:$C$2000,MONTH(L$5+3))=0,"",MAX(1,MIN(5,SUMIFS(Måned!$H$5:$H$2000,Måned!$A$5:$A$2000,$A21,Måned!$C$5:$C$2000,MONTH(L$5+3))+SUMPRODUCT((Vinduer!$A$5:$A$300=$A21)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1" s="19">
        <f>IF($A21="","",IF(COUNTIFS(Måned!$A$5:$A$2000,$A21,Måned!$C$5:$C$2000,MONTH(M$5+3))=0,"",MAX(1,MIN(5,SUMIFS(Måned!$H$5:$H$2000,Måned!$A$5:$A$2000,$A21,Måned!$C$5:$C$2000,MONTH(M$5+3))+SUMPRODUCT((Vinduer!$A$5:$A$300=$A21)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1" s="19">
        <f>IF($A21="","",IF(COUNTIFS(Måned!$A$5:$A$2000,$A21,Måned!$C$5:$C$2000,MONTH(N$5+3))=0,"",MAX(1,MIN(5,SUMIFS(Måned!$H$5:$H$2000,Måned!$A$5:$A$2000,$A21,Måned!$C$5:$C$2000,MONTH(N$5+3))+SUMPRODUCT((Vinduer!$A$5:$A$300=$A21)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1" s="19">
        <f>IF($A21="","",IF(COUNTIFS(Måned!$A$5:$A$2000,$A21,Måned!$C$5:$C$2000,MONTH(O$5+3))=0,"",MAX(1,MIN(5,SUMIFS(Måned!$H$5:$H$2000,Måned!$A$5:$A$2000,$A21,Måned!$C$5:$C$2000,MONTH(O$5+3))+SUMPRODUCT((Vinduer!$A$5:$A$300=$A21)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1" s="19">
        <f>IF($A21="","",IF(COUNTIFS(Måned!$A$5:$A$2000,$A21,Måned!$C$5:$C$2000,MONTH(P$5+3))=0,"",MAX(1,MIN(5,SUMIFS(Måned!$H$5:$H$2000,Måned!$A$5:$A$2000,$A21,Måned!$C$5:$C$2000,MONTH(P$5+3))+SUMPRODUCT((Vinduer!$A$5:$A$300=$A21)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1" s="19">
        <f>IF($A21="","",IF(COUNTIFS(Måned!$A$5:$A$2000,$A21,Måned!$C$5:$C$2000,MONTH(Q$5+3))=0,"",MAX(1,MIN(5,SUMIFS(Måned!$H$5:$H$2000,Måned!$A$5:$A$2000,$A21,Måned!$C$5:$C$2000,MONTH(Q$5+3))+SUMPRODUCT((Vinduer!$A$5:$A$300=$A21)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1" s="19">
        <f>IF($A21="","",IF(COUNTIFS(Måned!$A$5:$A$2000,$A21,Måned!$C$5:$C$2000,MONTH(R$5+3))=0,"",MAX(1,MIN(5,SUMIFS(Måned!$H$5:$H$2000,Måned!$A$5:$A$2000,$A21,Måned!$C$5:$C$2000,MONTH(R$5+3))+SUMPRODUCT((Vinduer!$A$5:$A$300=$A21)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1" s="19">
        <f>IF($A21="","",IF(COUNTIFS(Måned!$A$5:$A$2000,$A21,Måned!$C$5:$C$2000,MONTH(S$5+3))=0,"",MAX(1,MIN(5,SUMIFS(Måned!$H$5:$H$2000,Måned!$A$5:$A$2000,$A21,Måned!$C$5:$C$2000,MONTH(S$5+3))+SUMPRODUCT((Vinduer!$A$5:$A$300=$A21)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1" s="19">
        <f>IF($A21="","",IF(COUNTIFS(Måned!$A$5:$A$2000,$A21,Måned!$C$5:$C$2000,MONTH(T$5+3))=0,"",MAX(1,MIN(5,SUMIFS(Måned!$H$5:$H$2000,Måned!$A$5:$A$2000,$A21,Måned!$C$5:$C$2000,MONTH(T$5+3))+SUMPRODUCT((Vinduer!$A$5:$A$300=$A21)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1" s="19">
        <f>IF($A21="","",IF(COUNTIFS(Måned!$A$5:$A$2000,$A21,Måned!$C$5:$C$2000,MONTH(U$5+3))=0,"",MAX(1,MIN(5,SUMIFS(Måned!$H$5:$H$2000,Måned!$A$5:$A$2000,$A21,Måned!$C$5:$C$2000,MONTH(U$5+3))+SUMPRODUCT((Vinduer!$A$5:$A$300=$A21)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1" s="19">
        <f>IF($A21="","",IF(COUNTIFS(Måned!$A$5:$A$2000,$A21,Måned!$C$5:$C$2000,MONTH(V$5+3))=0,"",MAX(1,MIN(5,SUMIFS(Måned!$H$5:$H$2000,Måned!$A$5:$A$2000,$A21,Måned!$C$5:$C$2000,MONTH(V$5+3))+SUMPRODUCT((Vinduer!$A$5:$A$300=$A21)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1" s="19">
        <f>IF($A21="","",IF(COUNTIFS(Måned!$A$5:$A$2000,$A21,Måned!$C$5:$C$2000,MONTH(W$5+3))=0,"",MAX(1,MIN(5,SUMIFS(Måned!$H$5:$H$2000,Måned!$A$5:$A$2000,$A21,Måned!$C$5:$C$2000,MONTH(W$5+3))+SUMPRODUCT((Vinduer!$A$5:$A$300=$A21)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1" s="19">
        <f>IF($A21="","",IF(COUNTIFS(Måned!$A$5:$A$2000,$A21,Måned!$C$5:$C$2000,MONTH(X$5+3))=0,"",MAX(1,MIN(5,SUMIFS(Måned!$H$5:$H$2000,Måned!$A$5:$A$2000,$A21,Måned!$C$5:$C$2000,MONTH(X$5+3))+SUMPRODUCT((Vinduer!$A$5:$A$300=$A21)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1" s="19">
        <f>IF($A21="","",IF(COUNTIFS(Måned!$A$5:$A$2000,$A21,Måned!$C$5:$C$2000,MONTH(Y$5+3))=0,"",MAX(1,MIN(5,SUMIFS(Måned!$H$5:$H$2000,Måned!$A$5:$A$2000,$A21,Måned!$C$5:$C$2000,MONTH(Y$5+3))+SUMPRODUCT((Vinduer!$A$5:$A$300=$A21)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1" s="19">
        <f>IF($A21="","",IF(COUNTIFS(Måned!$A$5:$A$2000,$A21,Måned!$C$5:$C$2000,MONTH(Z$5+3))=0,"",MAX(1,MIN(5,SUMIFS(Måned!$H$5:$H$2000,Måned!$A$5:$A$2000,$A21,Måned!$C$5:$C$2000,MONTH(Z$5+3))+SUMPRODUCT((Vinduer!$A$5:$A$300=$A21)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1" s="19">
        <f>IF($A21="","",IF(COUNTIFS(Måned!$A$5:$A$2000,$A21,Måned!$C$5:$C$2000,MONTH(AA$5+3))=0,"",MAX(1,MIN(5,SUMIFS(Måned!$H$5:$H$2000,Måned!$A$5:$A$2000,$A21,Måned!$C$5:$C$2000,MONTH(AA$5+3))+SUMPRODUCT((Vinduer!$A$5:$A$300=$A21)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1" s="19">
        <f>IF($A21="","",IF(COUNTIFS(Måned!$A$5:$A$2000,$A21,Måned!$C$5:$C$2000,MONTH(AB$5+3))=0,"",MAX(1,MIN(5,SUMIFS(Måned!$H$5:$H$2000,Måned!$A$5:$A$2000,$A21,Måned!$C$5:$C$2000,MONTH(AB$5+3))+SUMPRODUCT((Vinduer!$A$5:$A$300=$A21)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1" s="19">
        <f>IF($A21="","",IF(COUNTIFS(Måned!$A$5:$A$2000,$A21,Måned!$C$5:$C$2000,MONTH(AC$5+3))=0,"",MAX(1,MIN(5,SUMIFS(Måned!$H$5:$H$2000,Måned!$A$5:$A$2000,$A21,Måned!$C$5:$C$2000,MONTH(AC$5+3))+SUMPRODUCT((Vinduer!$A$5:$A$300=$A21)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1" s="19">
        <f>IF($A21="","",IF(COUNTIFS(Måned!$A$5:$A$2000,$A21,Måned!$C$5:$C$2000,MONTH(AD$5+3))=0,"",MAX(1,MIN(5,SUMIFS(Måned!$H$5:$H$2000,Måned!$A$5:$A$2000,$A21,Måned!$C$5:$C$2000,MONTH(AD$5+3))+SUMPRODUCT((Vinduer!$A$5:$A$300=$A21)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1" s="19">
        <f>IF($A21="","",IF(COUNTIFS(Måned!$A$5:$A$2000,$A21,Måned!$C$5:$C$2000,MONTH(AE$5+3))=0,"",MAX(1,MIN(5,SUMIFS(Måned!$H$5:$H$2000,Måned!$A$5:$A$2000,$A21,Måned!$C$5:$C$2000,MONTH(AE$5+3))+SUMPRODUCT((Vinduer!$A$5:$A$300=$A21)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1" s="19">
        <f>IF($A21="","",IF(COUNTIFS(Måned!$A$5:$A$2000,$A21,Måned!$C$5:$C$2000,MONTH(AF$5+3))=0,"",MAX(1,MIN(5,SUMIFS(Måned!$H$5:$H$2000,Måned!$A$5:$A$2000,$A21,Måned!$C$5:$C$2000,MONTH(AF$5+3))+SUMPRODUCT((Vinduer!$A$5:$A$300=$A21)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1" s="19">
        <f>IF($A21="","",IF(COUNTIFS(Måned!$A$5:$A$2000,$A21,Måned!$C$5:$C$2000,MONTH(AG$5+3))=0,"",MAX(1,MIN(5,SUMIFS(Måned!$H$5:$H$2000,Måned!$A$5:$A$2000,$A21,Måned!$C$5:$C$2000,MONTH(AG$5+3))+SUMPRODUCT((Vinduer!$A$5:$A$300=$A21)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1" s="19">
        <f>IF($A21="","",IF(COUNTIFS(Måned!$A$5:$A$2000,$A21,Måned!$C$5:$C$2000,MONTH(AH$5+3))=0,"",MAX(1,MIN(5,SUMIFS(Måned!$H$5:$H$2000,Måned!$A$5:$A$2000,$A21,Måned!$C$5:$C$2000,MONTH(AH$5+3))+SUMPRODUCT((Vinduer!$A$5:$A$300=$A21)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1" s="19">
        <f>IF($A21="","",IF(COUNTIFS(Måned!$A$5:$A$2000,$A21,Måned!$C$5:$C$2000,MONTH(AI$5+3))=0,"",MAX(1,MIN(5,SUMIFS(Måned!$H$5:$H$2000,Måned!$A$5:$A$2000,$A21,Måned!$C$5:$C$2000,MONTH(AI$5+3))+SUMPRODUCT((Vinduer!$A$5:$A$300=$A21)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1" s="19">
        <f>IF($A21="","",IF(COUNTIFS(Måned!$A$5:$A$2000,$A21,Måned!$C$5:$C$2000,MONTH(AJ$5+3))=0,"",MAX(1,MIN(5,SUMIFS(Måned!$H$5:$H$2000,Måned!$A$5:$A$2000,$A21,Måned!$C$5:$C$2000,MONTH(AJ$5+3))+SUMPRODUCT((Vinduer!$A$5:$A$300=$A21)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1" s="19">
        <f>IF($A21="","",IF(COUNTIFS(Måned!$A$5:$A$2000,$A21,Måned!$C$5:$C$2000,MONTH(AK$5+3))=0,"",MAX(1,MIN(5,SUMIFS(Måned!$H$5:$H$2000,Måned!$A$5:$A$2000,$A21,Måned!$C$5:$C$2000,MONTH(AK$5+3))+SUMPRODUCT((Vinduer!$A$5:$A$300=$A21)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1" s="19">
        <f>IF($A21="","",IF(COUNTIFS(Måned!$A$5:$A$2000,$A21,Måned!$C$5:$C$2000,MONTH(AL$5+3))=0,"",MAX(1,MIN(5,SUMIFS(Måned!$H$5:$H$2000,Måned!$A$5:$A$2000,$A21,Måned!$C$5:$C$2000,MONTH(AL$5+3))+SUMPRODUCT((Vinduer!$A$5:$A$300=$A21)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1" s="19">
        <f>IF($A21="","",IF(COUNTIFS(Måned!$A$5:$A$2000,$A21,Måned!$C$5:$C$2000,MONTH(AM$5+3))=0,"",MAX(1,MIN(5,SUMIFS(Måned!$H$5:$H$2000,Måned!$A$5:$A$2000,$A21,Måned!$C$5:$C$2000,MONTH(AM$5+3))+SUMPRODUCT((Vinduer!$A$5:$A$300=$A21)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1" s="19">
        <f>IF($A21="","",IF(COUNTIFS(Måned!$A$5:$A$2000,$A21,Måned!$C$5:$C$2000,MONTH(AN$5+3))=0,"",MAX(1,MIN(5,SUMIFS(Måned!$H$5:$H$2000,Måned!$A$5:$A$2000,$A21,Måned!$C$5:$C$2000,MONTH(AN$5+3))+SUMPRODUCT((Vinduer!$A$5:$A$300=$A21)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1" s="19">
        <f>IF($A21="","",IF(COUNTIFS(Måned!$A$5:$A$2000,$A21,Måned!$C$5:$C$2000,MONTH(AO$5+3))=0,"",MAX(1,MIN(5,SUMIFS(Måned!$H$5:$H$2000,Måned!$A$5:$A$2000,$A21,Måned!$C$5:$C$2000,MONTH(AO$5+3))+SUMPRODUCT((Vinduer!$A$5:$A$300=$A21)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1" s="19">
        <f>IF($A21="","",IF(COUNTIFS(Måned!$A$5:$A$2000,$A21,Måned!$C$5:$C$2000,MONTH(AP$5+3))=0,"",MAX(1,MIN(5,SUMIFS(Måned!$H$5:$H$2000,Måned!$A$5:$A$2000,$A21,Måned!$C$5:$C$2000,MONTH(AP$5+3))+SUMPRODUCT((Vinduer!$A$5:$A$300=$A21)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1" s="19">
        <f>IF($A21="","",IF(COUNTIFS(Måned!$A$5:$A$2000,$A21,Måned!$C$5:$C$2000,MONTH(AQ$5+3))=0,"",MAX(1,MIN(5,SUMIFS(Måned!$H$5:$H$2000,Måned!$A$5:$A$2000,$A21,Måned!$C$5:$C$2000,MONTH(AQ$5+3))+SUMPRODUCT((Vinduer!$A$5:$A$300=$A21)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1" s="19">
        <f>IF($A21="","",IF(COUNTIFS(Måned!$A$5:$A$2000,$A21,Måned!$C$5:$C$2000,MONTH(AR$5+3))=0,"",MAX(1,MIN(5,SUMIFS(Måned!$H$5:$H$2000,Måned!$A$5:$A$2000,$A21,Måned!$C$5:$C$2000,MONTH(AR$5+3))+SUMPRODUCT((Vinduer!$A$5:$A$300=$A21)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1" s="19">
        <f>IF($A21="","",IF(COUNTIFS(Måned!$A$5:$A$2000,$A21,Måned!$C$5:$C$2000,MONTH(AS$5+3))=0,"",MAX(1,MIN(5,SUMIFS(Måned!$H$5:$H$2000,Måned!$A$5:$A$2000,$A21,Måned!$C$5:$C$2000,MONTH(AS$5+3))+SUMPRODUCT((Vinduer!$A$5:$A$300=$A21)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1" s="19">
        <f>IF($A21="","",IF(COUNTIFS(Måned!$A$5:$A$2000,$A21,Måned!$C$5:$C$2000,MONTH(AT$5+3))=0,"",MAX(1,MIN(5,SUMIFS(Måned!$H$5:$H$2000,Måned!$A$5:$A$2000,$A21,Måned!$C$5:$C$2000,MONTH(AT$5+3))+SUMPRODUCT((Vinduer!$A$5:$A$300=$A21)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1" s="19">
        <f>IF($A21="","",IF(COUNTIFS(Måned!$A$5:$A$2000,$A21,Måned!$C$5:$C$2000,MONTH(AU$5+3))=0,"",MAX(1,MIN(5,SUMIFS(Måned!$H$5:$H$2000,Måned!$A$5:$A$2000,$A21,Måned!$C$5:$C$2000,MONTH(AU$5+3))+SUMPRODUCT((Vinduer!$A$5:$A$300=$A21)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1" s="19">
        <f>IF($A21="","",IF(COUNTIFS(Måned!$A$5:$A$2000,$A21,Måned!$C$5:$C$2000,MONTH(AV$5+3))=0,"",MAX(1,MIN(5,SUMIFS(Måned!$H$5:$H$2000,Måned!$A$5:$A$2000,$A21,Måned!$C$5:$C$2000,MONTH(AV$5+3))+SUMPRODUCT((Vinduer!$A$5:$A$300=$A21)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1" s="19">
        <f>IF($A21="","",IF(COUNTIFS(Måned!$A$5:$A$2000,$A21,Måned!$C$5:$C$2000,MONTH(AW$5+3))=0,"",MAX(1,MIN(5,SUMIFS(Måned!$H$5:$H$2000,Måned!$A$5:$A$2000,$A21,Måned!$C$5:$C$2000,MONTH(AW$5+3))+SUMPRODUCT((Vinduer!$A$5:$A$300=$A21)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1" s="19">
        <f>IF($A21="","",IF(COUNTIFS(Måned!$A$5:$A$2000,$A21,Måned!$C$5:$C$2000,MONTH(AX$5+3))=0,"",MAX(1,MIN(5,SUMIFS(Måned!$H$5:$H$2000,Måned!$A$5:$A$2000,$A21,Måned!$C$5:$C$2000,MONTH(AX$5+3))+SUMPRODUCT((Vinduer!$A$5:$A$300=$A21)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1" s="19">
        <f>IF($A21="","",IF(COUNTIFS(Måned!$A$5:$A$2000,$A21,Måned!$C$5:$C$2000,MONTH(AY$5+3))=0,"",MAX(1,MIN(5,SUMIFS(Måned!$H$5:$H$2000,Måned!$A$5:$A$2000,$A21,Måned!$C$5:$C$2000,MONTH(AY$5+3))+SUMPRODUCT((Vinduer!$A$5:$A$300=$A21)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1" s="19">
        <f>IF($A21="","",IF(COUNTIFS(Måned!$A$5:$A$2000,$A21,Måned!$C$5:$C$2000,MONTH(AZ$5+3))=0,"",MAX(1,MIN(5,SUMIFS(Måned!$H$5:$H$2000,Måned!$A$5:$A$2000,$A21,Måned!$C$5:$C$2000,MONTH(AZ$5+3))+SUMPRODUCT((Vinduer!$A$5:$A$300=$A21)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1" s="19">
        <f>IF($A21="","",IF(COUNTIFS(Måned!$A$5:$A$2000,$A21,Måned!$C$5:$C$2000,MONTH(BA$5+3))=0,"",MAX(1,MIN(5,SUMIFS(Måned!$H$5:$H$2000,Måned!$A$5:$A$2000,$A21,Måned!$C$5:$C$2000,MONTH(BA$5+3))+SUMPRODUCT((Vinduer!$A$5:$A$300=$A21)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1" s="19">
        <f>IF($A21="","",IF(COUNTIFS(Måned!$A$5:$A$2000,$A21,Måned!$C$5:$C$2000,MONTH(BB$5+3))=0,"",MAX(1,MIN(5,SUMIFS(Måned!$H$5:$H$2000,Måned!$A$5:$A$2000,$A21,Måned!$C$5:$C$2000,MONTH(BB$5+3))+SUMPRODUCT((Vinduer!$A$5:$A$300=$A21)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1" s="19">
        <f>IF($A21="","",IF(COUNTIFS(Måned!$A$5:$A$2000,$A21,Måned!$C$5:$C$2000,MONTH(BC$5+3))=0,"",MAX(1,MIN(5,SUMIFS(Måned!$H$5:$H$2000,Måned!$A$5:$A$2000,$A21,Måned!$C$5:$C$2000,MONTH(BC$5+3))+SUMPRODUCT((Vinduer!$A$5:$A$300=$A21)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1" s="19">
        <f>IF($A21="","",IF(COUNTIFS(Måned!$A$5:$A$2000,$A21,Måned!$C$5:$C$2000,MONTH(BD$5+3))=0,"",MAX(1,MIN(5,SUMIFS(Måned!$H$5:$H$2000,Måned!$A$5:$A$2000,$A21,Måned!$C$5:$C$2000,MONTH(BD$5+3))+SUMPRODUCT((Vinduer!$A$5:$A$300=$A21)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1" s="19">
        <f>IF($A21="","",IF(COUNTIFS(Måned!$A$5:$A$2000,$A21,Måned!$C$5:$C$2000,MONTH(BE$5+3))=0,"",MAX(1,MIN(5,SUMIFS(Måned!$H$5:$H$2000,Måned!$A$5:$A$2000,$A21,Måned!$C$5:$C$2000,MONTH(BE$5+3))+SUMPRODUCT((Vinduer!$A$5:$A$300=$A21)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2">
      <c r="A22" s="5">
        <f>IF(Destinasjoner!A18="","",Destinasjoner!A18)</f>
        <v/>
      </c>
      <c r="B22" s="5">
        <f>IF(A22="","",Destinasjoner!E18)</f>
        <v/>
      </c>
      <c r="C22" s="5">
        <f>IF(A22="","",Destinasjoner!B18)</f>
        <v/>
      </c>
      <c r="D22" s="17">
        <f>IFERROR(SUMIFS(F22:BE22,$F$7:$BE$7,"x")/COUNTIFS($F$7:$BE$7,"x",F22:BE22,"&gt;0"),"")</f>
        <v/>
      </c>
      <c r="E22" s="18">
        <f>IF(D22="","",_xlfn.MINIFS(F22:BE22,$F$7:$BE$7,"x",F22:BE22,"&gt;0"))</f>
        <v/>
      </c>
      <c r="F22" s="19">
        <f>IF($A22="","",IF(COUNTIFS(Måned!$A$5:$A$2000,$A22,Måned!$C$5:$C$2000,MONTH(F$5+3))=0,"",MAX(1,MIN(5,SUMIFS(Måned!$H$5:$H$2000,Måned!$A$5:$A$2000,$A22,Måned!$C$5:$C$2000,MONTH(F$5+3))+SUMPRODUCT((Vinduer!$A$5:$A$300=$A22)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2" s="19">
        <f>IF($A22="","",IF(COUNTIFS(Måned!$A$5:$A$2000,$A22,Måned!$C$5:$C$2000,MONTH(G$5+3))=0,"",MAX(1,MIN(5,SUMIFS(Måned!$H$5:$H$2000,Måned!$A$5:$A$2000,$A22,Måned!$C$5:$C$2000,MONTH(G$5+3))+SUMPRODUCT((Vinduer!$A$5:$A$300=$A22)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2" s="19">
        <f>IF($A22="","",IF(COUNTIFS(Måned!$A$5:$A$2000,$A22,Måned!$C$5:$C$2000,MONTH(H$5+3))=0,"",MAX(1,MIN(5,SUMIFS(Måned!$H$5:$H$2000,Måned!$A$5:$A$2000,$A22,Måned!$C$5:$C$2000,MONTH(H$5+3))+SUMPRODUCT((Vinduer!$A$5:$A$300=$A22)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2" s="19">
        <f>IF($A22="","",IF(COUNTIFS(Måned!$A$5:$A$2000,$A22,Måned!$C$5:$C$2000,MONTH(I$5+3))=0,"",MAX(1,MIN(5,SUMIFS(Måned!$H$5:$H$2000,Måned!$A$5:$A$2000,$A22,Måned!$C$5:$C$2000,MONTH(I$5+3))+SUMPRODUCT((Vinduer!$A$5:$A$300=$A22)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2" s="19">
        <f>IF($A22="","",IF(COUNTIFS(Måned!$A$5:$A$2000,$A22,Måned!$C$5:$C$2000,MONTH(J$5+3))=0,"",MAX(1,MIN(5,SUMIFS(Måned!$H$5:$H$2000,Måned!$A$5:$A$2000,$A22,Måned!$C$5:$C$2000,MONTH(J$5+3))+SUMPRODUCT((Vinduer!$A$5:$A$300=$A22)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2" s="19">
        <f>IF($A22="","",IF(COUNTIFS(Måned!$A$5:$A$2000,$A22,Måned!$C$5:$C$2000,MONTH(K$5+3))=0,"",MAX(1,MIN(5,SUMIFS(Måned!$H$5:$H$2000,Måned!$A$5:$A$2000,$A22,Måned!$C$5:$C$2000,MONTH(K$5+3))+SUMPRODUCT((Vinduer!$A$5:$A$300=$A22)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2" s="19">
        <f>IF($A22="","",IF(COUNTIFS(Måned!$A$5:$A$2000,$A22,Måned!$C$5:$C$2000,MONTH(L$5+3))=0,"",MAX(1,MIN(5,SUMIFS(Måned!$H$5:$H$2000,Måned!$A$5:$A$2000,$A22,Måned!$C$5:$C$2000,MONTH(L$5+3))+SUMPRODUCT((Vinduer!$A$5:$A$300=$A22)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2" s="19">
        <f>IF($A22="","",IF(COUNTIFS(Måned!$A$5:$A$2000,$A22,Måned!$C$5:$C$2000,MONTH(M$5+3))=0,"",MAX(1,MIN(5,SUMIFS(Måned!$H$5:$H$2000,Måned!$A$5:$A$2000,$A22,Måned!$C$5:$C$2000,MONTH(M$5+3))+SUMPRODUCT((Vinduer!$A$5:$A$300=$A22)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2" s="19">
        <f>IF($A22="","",IF(COUNTIFS(Måned!$A$5:$A$2000,$A22,Måned!$C$5:$C$2000,MONTH(N$5+3))=0,"",MAX(1,MIN(5,SUMIFS(Måned!$H$5:$H$2000,Måned!$A$5:$A$2000,$A22,Måned!$C$5:$C$2000,MONTH(N$5+3))+SUMPRODUCT((Vinduer!$A$5:$A$300=$A22)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2" s="19">
        <f>IF($A22="","",IF(COUNTIFS(Måned!$A$5:$A$2000,$A22,Måned!$C$5:$C$2000,MONTH(O$5+3))=0,"",MAX(1,MIN(5,SUMIFS(Måned!$H$5:$H$2000,Måned!$A$5:$A$2000,$A22,Måned!$C$5:$C$2000,MONTH(O$5+3))+SUMPRODUCT((Vinduer!$A$5:$A$300=$A22)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2" s="19">
        <f>IF($A22="","",IF(COUNTIFS(Måned!$A$5:$A$2000,$A22,Måned!$C$5:$C$2000,MONTH(P$5+3))=0,"",MAX(1,MIN(5,SUMIFS(Måned!$H$5:$H$2000,Måned!$A$5:$A$2000,$A22,Måned!$C$5:$C$2000,MONTH(P$5+3))+SUMPRODUCT((Vinduer!$A$5:$A$300=$A22)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2" s="19">
        <f>IF($A22="","",IF(COUNTIFS(Måned!$A$5:$A$2000,$A22,Måned!$C$5:$C$2000,MONTH(Q$5+3))=0,"",MAX(1,MIN(5,SUMIFS(Måned!$H$5:$H$2000,Måned!$A$5:$A$2000,$A22,Måned!$C$5:$C$2000,MONTH(Q$5+3))+SUMPRODUCT((Vinduer!$A$5:$A$300=$A22)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2" s="19">
        <f>IF($A22="","",IF(COUNTIFS(Måned!$A$5:$A$2000,$A22,Måned!$C$5:$C$2000,MONTH(R$5+3))=0,"",MAX(1,MIN(5,SUMIFS(Måned!$H$5:$H$2000,Måned!$A$5:$A$2000,$A22,Måned!$C$5:$C$2000,MONTH(R$5+3))+SUMPRODUCT((Vinduer!$A$5:$A$300=$A22)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2" s="19">
        <f>IF($A22="","",IF(COUNTIFS(Måned!$A$5:$A$2000,$A22,Måned!$C$5:$C$2000,MONTH(S$5+3))=0,"",MAX(1,MIN(5,SUMIFS(Måned!$H$5:$H$2000,Måned!$A$5:$A$2000,$A22,Måned!$C$5:$C$2000,MONTH(S$5+3))+SUMPRODUCT((Vinduer!$A$5:$A$300=$A22)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2" s="19">
        <f>IF($A22="","",IF(COUNTIFS(Måned!$A$5:$A$2000,$A22,Måned!$C$5:$C$2000,MONTH(T$5+3))=0,"",MAX(1,MIN(5,SUMIFS(Måned!$H$5:$H$2000,Måned!$A$5:$A$2000,$A22,Måned!$C$5:$C$2000,MONTH(T$5+3))+SUMPRODUCT((Vinduer!$A$5:$A$300=$A22)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2" s="19">
        <f>IF($A22="","",IF(COUNTIFS(Måned!$A$5:$A$2000,$A22,Måned!$C$5:$C$2000,MONTH(U$5+3))=0,"",MAX(1,MIN(5,SUMIFS(Måned!$H$5:$H$2000,Måned!$A$5:$A$2000,$A22,Måned!$C$5:$C$2000,MONTH(U$5+3))+SUMPRODUCT((Vinduer!$A$5:$A$300=$A22)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2" s="19">
        <f>IF($A22="","",IF(COUNTIFS(Måned!$A$5:$A$2000,$A22,Måned!$C$5:$C$2000,MONTH(V$5+3))=0,"",MAX(1,MIN(5,SUMIFS(Måned!$H$5:$H$2000,Måned!$A$5:$A$2000,$A22,Måned!$C$5:$C$2000,MONTH(V$5+3))+SUMPRODUCT((Vinduer!$A$5:$A$300=$A22)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2" s="19">
        <f>IF($A22="","",IF(COUNTIFS(Måned!$A$5:$A$2000,$A22,Måned!$C$5:$C$2000,MONTH(W$5+3))=0,"",MAX(1,MIN(5,SUMIFS(Måned!$H$5:$H$2000,Måned!$A$5:$A$2000,$A22,Måned!$C$5:$C$2000,MONTH(W$5+3))+SUMPRODUCT((Vinduer!$A$5:$A$300=$A22)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2" s="19">
        <f>IF($A22="","",IF(COUNTIFS(Måned!$A$5:$A$2000,$A22,Måned!$C$5:$C$2000,MONTH(X$5+3))=0,"",MAX(1,MIN(5,SUMIFS(Måned!$H$5:$H$2000,Måned!$A$5:$A$2000,$A22,Måned!$C$5:$C$2000,MONTH(X$5+3))+SUMPRODUCT((Vinduer!$A$5:$A$300=$A22)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2" s="19">
        <f>IF($A22="","",IF(COUNTIFS(Måned!$A$5:$A$2000,$A22,Måned!$C$5:$C$2000,MONTH(Y$5+3))=0,"",MAX(1,MIN(5,SUMIFS(Måned!$H$5:$H$2000,Måned!$A$5:$A$2000,$A22,Måned!$C$5:$C$2000,MONTH(Y$5+3))+SUMPRODUCT((Vinduer!$A$5:$A$300=$A22)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2" s="19">
        <f>IF($A22="","",IF(COUNTIFS(Måned!$A$5:$A$2000,$A22,Måned!$C$5:$C$2000,MONTH(Z$5+3))=0,"",MAX(1,MIN(5,SUMIFS(Måned!$H$5:$H$2000,Måned!$A$5:$A$2000,$A22,Måned!$C$5:$C$2000,MONTH(Z$5+3))+SUMPRODUCT((Vinduer!$A$5:$A$300=$A22)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2" s="19">
        <f>IF($A22="","",IF(COUNTIFS(Måned!$A$5:$A$2000,$A22,Måned!$C$5:$C$2000,MONTH(AA$5+3))=0,"",MAX(1,MIN(5,SUMIFS(Måned!$H$5:$H$2000,Måned!$A$5:$A$2000,$A22,Måned!$C$5:$C$2000,MONTH(AA$5+3))+SUMPRODUCT((Vinduer!$A$5:$A$300=$A22)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2" s="19">
        <f>IF($A22="","",IF(COUNTIFS(Måned!$A$5:$A$2000,$A22,Måned!$C$5:$C$2000,MONTH(AB$5+3))=0,"",MAX(1,MIN(5,SUMIFS(Måned!$H$5:$H$2000,Måned!$A$5:$A$2000,$A22,Måned!$C$5:$C$2000,MONTH(AB$5+3))+SUMPRODUCT((Vinduer!$A$5:$A$300=$A22)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2" s="19">
        <f>IF($A22="","",IF(COUNTIFS(Måned!$A$5:$A$2000,$A22,Måned!$C$5:$C$2000,MONTH(AC$5+3))=0,"",MAX(1,MIN(5,SUMIFS(Måned!$H$5:$H$2000,Måned!$A$5:$A$2000,$A22,Måned!$C$5:$C$2000,MONTH(AC$5+3))+SUMPRODUCT((Vinduer!$A$5:$A$300=$A22)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2" s="19">
        <f>IF($A22="","",IF(COUNTIFS(Måned!$A$5:$A$2000,$A22,Måned!$C$5:$C$2000,MONTH(AD$5+3))=0,"",MAX(1,MIN(5,SUMIFS(Måned!$H$5:$H$2000,Måned!$A$5:$A$2000,$A22,Måned!$C$5:$C$2000,MONTH(AD$5+3))+SUMPRODUCT((Vinduer!$A$5:$A$300=$A22)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2" s="19">
        <f>IF($A22="","",IF(COUNTIFS(Måned!$A$5:$A$2000,$A22,Måned!$C$5:$C$2000,MONTH(AE$5+3))=0,"",MAX(1,MIN(5,SUMIFS(Måned!$H$5:$H$2000,Måned!$A$5:$A$2000,$A22,Måned!$C$5:$C$2000,MONTH(AE$5+3))+SUMPRODUCT((Vinduer!$A$5:$A$300=$A22)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2" s="19">
        <f>IF($A22="","",IF(COUNTIFS(Måned!$A$5:$A$2000,$A22,Måned!$C$5:$C$2000,MONTH(AF$5+3))=0,"",MAX(1,MIN(5,SUMIFS(Måned!$H$5:$H$2000,Måned!$A$5:$A$2000,$A22,Måned!$C$5:$C$2000,MONTH(AF$5+3))+SUMPRODUCT((Vinduer!$A$5:$A$300=$A22)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2" s="19">
        <f>IF($A22="","",IF(COUNTIFS(Måned!$A$5:$A$2000,$A22,Måned!$C$5:$C$2000,MONTH(AG$5+3))=0,"",MAX(1,MIN(5,SUMIFS(Måned!$H$5:$H$2000,Måned!$A$5:$A$2000,$A22,Måned!$C$5:$C$2000,MONTH(AG$5+3))+SUMPRODUCT((Vinduer!$A$5:$A$300=$A22)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2" s="19">
        <f>IF($A22="","",IF(COUNTIFS(Måned!$A$5:$A$2000,$A22,Måned!$C$5:$C$2000,MONTH(AH$5+3))=0,"",MAX(1,MIN(5,SUMIFS(Måned!$H$5:$H$2000,Måned!$A$5:$A$2000,$A22,Måned!$C$5:$C$2000,MONTH(AH$5+3))+SUMPRODUCT((Vinduer!$A$5:$A$300=$A22)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2" s="19">
        <f>IF($A22="","",IF(COUNTIFS(Måned!$A$5:$A$2000,$A22,Måned!$C$5:$C$2000,MONTH(AI$5+3))=0,"",MAX(1,MIN(5,SUMIFS(Måned!$H$5:$H$2000,Måned!$A$5:$A$2000,$A22,Måned!$C$5:$C$2000,MONTH(AI$5+3))+SUMPRODUCT((Vinduer!$A$5:$A$300=$A22)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2" s="19">
        <f>IF($A22="","",IF(COUNTIFS(Måned!$A$5:$A$2000,$A22,Måned!$C$5:$C$2000,MONTH(AJ$5+3))=0,"",MAX(1,MIN(5,SUMIFS(Måned!$H$5:$H$2000,Måned!$A$5:$A$2000,$A22,Måned!$C$5:$C$2000,MONTH(AJ$5+3))+SUMPRODUCT((Vinduer!$A$5:$A$300=$A22)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2" s="19">
        <f>IF($A22="","",IF(COUNTIFS(Måned!$A$5:$A$2000,$A22,Måned!$C$5:$C$2000,MONTH(AK$5+3))=0,"",MAX(1,MIN(5,SUMIFS(Måned!$H$5:$H$2000,Måned!$A$5:$A$2000,$A22,Måned!$C$5:$C$2000,MONTH(AK$5+3))+SUMPRODUCT((Vinduer!$A$5:$A$300=$A22)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2" s="19">
        <f>IF($A22="","",IF(COUNTIFS(Måned!$A$5:$A$2000,$A22,Måned!$C$5:$C$2000,MONTH(AL$5+3))=0,"",MAX(1,MIN(5,SUMIFS(Måned!$H$5:$H$2000,Måned!$A$5:$A$2000,$A22,Måned!$C$5:$C$2000,MONTH(AL$5+3))+SUMPRODUCT((Vinduer!$A$5:$A$300=$A22)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2" s="19">
        <f>IF($A22="","",IF(COUNTIFS(Måned!$A$5:$A$2000,$A22,Måned!$C$5:$C$2000,MONTH(AM$5+3))=0,"",MAX(1,MIN(5,SUMIFS(Måned!$H$5:$H$2000,Måned!$A$5:$A$2000,$A22,Måned!$C$5:$C$2000,MONTH(AM$5+3))+SUMPRODUCT((Vinduer!$A$5:$A$300=$A22)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2" s="19">
        <f>IF($A22="","",IF(COUNTIFS(Måned!$A$5:$A$2000,$A22,Måned!$C$5:$C$2000,MONTH(AN$5+3))=0,"",MAX(1,MIN(5,SUMIFS(Måned!$H$5:$H$2000,Måned!$A$5:$A$2000,$A22,Måned!$C$5:$C$2000,MONTH(AN$5+3))+SUMPRODUCT((Vinduer!$A$5:$A$300=$A22)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2" s="19">
        <f>IF($A22="","",IF(COUNTIFS(Måned!$A$5:$A$2000,$A22,Måned!$C$5:$C$2000,MONTH(AO$5+3))=0,"",MAX(1,MIN(5,SUMIFS(Måned!$H$5:$H$2000,Måned!$A$5:$A$2000,$A22,Måned!$C$5:$C$2000,MONTH(AO$5+3))+SUMPRODUCT((Vinduer!$A$5:$A$300=$A22)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2" s="19">
        <f>IF($A22="","",IF(COUNTIFS(Måned!$A$5:$A$2000,$A22,Måned!$C$5:$C$2000,MONTH(AP$5+3))=0,"",MAX(1,MIN(5,SUMIFS(Måned!$H$5:$H$2000,Måned!$A$5:$A$2000,$A22,Måned!$C$5:$C$2000,MONTH(AP$5+3))+SUMPRODUCT((Vinduer!$A$5:$A$300=$A22)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2" s="19">
        <f>IF($A22="","",IF(COUNTIFS(Måned!$A$5:$A$2000,$A22,Måned!$C$5:$C$2000,MONTH(AQ$5+3))=0,"",MAX(1,MIN(5,SUMIFS(Måned!$H$5:$H$2000,Måned!$A$5:$A$2000,$A22,Måned!$C$5:$C$2000,MONTH(AQ$5+3))+SUMPRODUCT((Vinduer!$A$5:$A$300=$A22)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2" s="19">
        <f>IF($A22="","",IF(COUNTIFS(Måned!$A$5:$A$2000,$A22,Måned!$C$5:$C$2000,MONTH(AR$5+3))=0,"",MAX(1,MIN(5,SUMIFS(Måned!$H$5:$H$2000,Måned!$A$5:$A$2000,$A22,Måned!$C$5:$C$2000,MONTH(AR$5+3))+SUMPRODUCT((Vinduer!$A$5:$A$300=$A22)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2" s="19">
        <f>IF($A22="","",IF(COUNTIFS(Måned!$A$5:$A$2000,$A22,Måned!$C$5:$C$2000,MONTH(AS$5+3))=0,"",MAX(1,MIN(5,SUMIFS(Måned!$H$5:$H$2000,Måned!$A$5:$A$2000,$A22,Måned!$C$5:$C$2000,MONTH(AS$5+3))+SUMPRODUCT((Vinduer!$A$5:$A$300=$A22)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2" s="19">
        <f>IF($A22="","",IF(COUNTIFS(Måned!$A$5:$A$2000,$A22,Måned!$C$5:$C$2000,MONTH(AT$5+3))=0,"",MAX(1,MIN(5,SUMIFS(Måned!$H$5:$H$2000,Måned!$A$5:$A$2000,$A22,Måned!$C$5:$C$2000,MONTH(AT$5+3))+SUMPRODUCT((Vinduer!$A$5:$A$300=$A22)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2" s="19">
        <f>IF($A22="","",IF(COUNTIFS(Måned!$A$5:$A$2000,$A22,Måned!$C$5:$C$2000,MONTH(AU$5+3))=0,"",MAX(1,MIN(5,SUMIFS(Måned!$H$5:$H$2000,Måned!$A$5:$A$2000,$A22,Måned!$C$5:$C$2000,MONTH(AU$5+3))+SUMPRODUCT((Vinduer!$A$5:$A$300=$A22)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2" s="19">
        <f>IF($A22="","",IF(COUNTIFS(Måned!$A$5:$A$2000,$A22,Måned!$C$5:$C$2000,MONTH(AV$5+3))=0,"",MAX(1,MIN(5,SUMIFS(Måned!$H$5:$H$2000,Måned!$A$5:$A$2000,$A22,Måned!$C$5:$C$2000,MONTH(AV$5+3))+SUMPRODUCT((Vinduer!$A$5:$A$300=$A22)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2" s="19">
        <f>IF($A22="","",IF(COUNTIFS(Måned!$A$5:$A$2000,$A22,Måned!$C$5:$C$2000,MONTH(AW$5+3))=0,"",MAX(1,MIN(5,SUMIFS(Måned!$H$5:$H$2000,Måned!$A$5:$A$2000,$A22,Måned!$C$5:$C$2000,MONTH(AW$5+3))+SUMPRODUCT((Vinduer!$A$5:$A$300=$A22)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2" s="19">
        <f>IF($A22="","",IF(COUNTIFS(Måned!$A$5:$A$2000,$A22,Måned!$C$5:$C$2000,MONTH(AX$5+3))=0,"",MAX(1,MIN(5,SUMIFS(Måned!$H$5:$H$2000,Måned!$A$5:$A$2000,$A22,Måned!$C$5:$C$2000,MONTH(AX$5+3))+SUMPRODUCT((Vinduer!$A$5:$A$300=$A22)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2" s="19">
        <f>IF($A22="","",IF(COUNTIFS(Måned!$A$5:$A$2000,$A22,Måned!$C$5:$C$2000,MONTH(AY$5+3))=0,"",MAX(1,MIN(5,SUMIFS(Måned!$H$5:$H$2000,Måned!$A$5:$A$2000,$A22,Måned!$C$5:$C$2000,MONTH(AY$5+3))+SUMPRODUCT((Vinduer!$A$5:$A$300=$A22)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2" s="19">
        <f>IF($A22="","",IF(COUNTIFS(Måned!$A$5:$A$2000,$A22,Måned!$C$5:$C$2000,MONTH(AZ$5+3))=0,"",MAX(1,MIN(5,SUMIFS(Måned!$H$5:$H$2000,Måned!$A$5:$A$2000,$A22,Måned!$C$5:$C$2000,MONTH(AZ$5+3))+SUMPRODUCT((Vinduer!$A$5:$A$300=$A22)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2" s="19">
        <f>IF($A22="","",IF(COUNTIFS(Måned!$A$5:$A$2000,$A22,Måned!$C$5:$C$2000,MONTH(BA$5+3))=0,"",MAX(1,MIN(5,SUMIFS(Måned!$H$5:$H$2000,Måned!$A$5:$A$2000,$A22,Måned!$C$5:$C$2000,MONTH(BA$5+3))+SUMPRODUCT((Vinduer!$A$5:$A$300=$A22)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2" s="19">
        <f>IF($A22="","",IF(COUNTIFS(Måned!$A$5:$A$2000,$A22,Måned!$C$5:$C$2000,MONTH(BB$5+3))=0,"",MAX(1,MIN(5,SUMIFS(Måned!$H$5:$H$2000,Måned!$A$5:$A$2000,$A22,Måned!$C$5:$C$2000,MONTH(BB$5+3))+SUMPRODUCT((Vinduer!$A$5:$A$300=$A22)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2" s="19">
        <f>IF($A22="","",IF(COUNTIFS(Måned!$A$5:$A$2000,$A22,Måned!$C$5:$C$2000,MONTH(BC$5+3))=0,"",MAX(1,MIN(5,SUMIFS(Måned!$H$5:$H$2000,Måned!$A$5:$A$2000,$A22,Måned!$C$5:$C$2000,MONTH(BC$5+3))+SUMPRODUCT((Vinduer!$A$5:$A$300=$A22)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2" s="19">
        <f>IF($A22="","",IF(COUNTIFS(Måned!$A$5:$A$2000,$A22,Måned!$C$5:$C$2000,MONTH(BD$5+3))=0,"",MAX(1,MIN(5,SUMIFS(Måned!$H$5:$H$2000,Måned!$A$5:$A$2000,$A22,Måned!$C$5:$C$2000,MONTH(BD$5+3))+SUMPRODUCT((Vinduer!$A$5:$A$300=$A22)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2" s="19">
        <f>IF($A22="","",IF(COUNTIFS(Måned!$A$5:$A$2000,$A22,Måned!$C$5:$C$2000,MONTH(BE$5+3))=0,"",MAX(1,MIN(5,SUMIFS(Måned!$H$5:$H$2000,Måned!$A$5:$A$2000,$A22,Måned!$C$5:$C$2000,MONTH(BE$5+3))+SUMPRODUCT((Vinduer!$A$5:$A$300=$A22)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3">
      <c r="A23" s="5">
        <f>IF(Destinasjoner!A19="","",Destinasjoner!A19)</f>
        <v/>
      </c>
      <c r="B23" s="5">
        <f>IF(A23="","",Destinasjoner!E19)</f>
        <v/>
      </c>
      <c r="C23" s="5">
        <f>IF(A23="","",Destinasjoner!B19)</f>
        <v/>
      </c>
      <c r="D23" s="17">
        <f>IFERROR(SUMIFS(F23:BE23,$F$7:$BE$7,"x")/COUNTIFS($F$7:$BE$7,"x",F23:BE23,"&gt;0"),"")</f>
        <v/>
      </c>
      <c r="E23" s="18">
        <f>IF(D23="","",_xlfn.MINIFS(F23:BE23,$F$7:$BE$7,"x",F23:BE23,"&gt;0"))</f>
        <v/>
      </c>
      <c r="F23" s="19">
        <f>IF($A23="","",IF(COUNTIFS(Måned!$A$5:$A$2000,$A23,Måned!$C$5:$C$2000,MONTH(F$5+3))=0,"",MAX(1,MIN(5,SUMIFS(Måned!$H$5:$H$2000,Måned!$A$5:$A$2000,$A23,Måned!$C$5:$C$2000,MONTH(F$5+3))+SUMPRODUCT((Vinduer!$A$5:$A$300=$A23)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3" s="19">
        <f>IF($A23="","",IF(COUNTIFS(Måned!$A$5:$A$2000,$A23,Måned!$C$5:$C$2000,MONTH(G$5+3))=0,"",MAX(1,MIN(5,SUMIFS(Måned!$H$5:$H$2000,Måned!$A$5:$A$2000,$A23,Måned!$C$5:$C$2000,MONTH(G$5+3))+SUMPRODUCT((Vinduer!$A$5:$A$300=$A23)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3" s="19">
        <f>IF($A23="","",IF(COUNTIFS(Måned!$A$5:$A$2000,$A23,Måned!$C$5:$C$2000,MONTH(H$5+3))=0,"",MAX(1,MIN(5,SUMIFS(Måned!$H$5:$H$2000,Måned!$A$5:$A$2000,$A23,Måned!$C$5:$C$2000,MONTH(H$5+3))+SUMPRODUCT((Vinduer!$A$5:$A$300=$A23)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3" s="19">
        <f>IF($A23="","",IF(COUNTIFS(Måned!$A$5:$A$2000,$A23,Måned!$C$5:$C$2000,MONTH(I$5+3))=0,"",MAX(1,MIN(5,SUMIFS(Måned!$H$5:$H$2000,Måned!$A$5:$A$2000,$A23,Måned!$C$5:$C$2000,MONTH(I$5+3))+SUMPRODUCT((Vinduer!$A$5:$A$300=$A23)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3" s="19">
        <f>IF($A23="","",IF(COUNTIFS(Måned!$A$5:$A$2000,$A23,Måned!$C$5:$C$2000,MONTH(J$5+3))=0,"",MAX(1,MIN(5,SUMIFS(Måned!$H$5:$H$2000,Måned!$A$5:$A$2000,$A23,Måned!$C$5:$C$2000,MONTH(J$5+3))+SUMPRODUCT((Vinduer!$A$5:$A$300=$A23)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3" s="19">
        <f>IF($A23="","",IF(COUNTIFS(Måned!$A$5:$A$2000,$A23,Måned!$C$5:$C$2000,MONTH(K$5+3))=0,"",MAX(1,MIN(5,SUMIFS(Måned!$H$5:$H$2000,Måned!$A$5:$A$2000,$A23,Måned!$C$5:$C$2000,MONTH(K$5+3))+SUMPRODUCT((Vinduer!$A$5:$A$300=$A23)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3" s="19">
        <f>IF($A23="","",IF(COUNTIFS(Måned!$A$5:$A$2000,$A23,Måned!$C$5:$C$2000,MONTH(L$5+3))=0,"",MAX(1,MIN(5,SUMIFS(Måned!$H$5:$H$2000,Måned!$A$5:$A$2000,$A23,Måned!$C$5:$C$2000,MONTH(L$5+3))+SUMPRODUCT((Vinduer!$A$5:$A$300=$A23)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3" s="19">
        <f>IF($A23="","",IF(COUNTIFS(Måned!$A$5:$A$2000,$A23,Måned!$C$5:$C$2000,MONTH(M$5+3))=0,"",MAX(1,MIN(5,SUMIFS(Måned!$H$5:$H$2000,Måned!$A$5:$A$2000,$A23,Måned!$C$5:$C$2000,MONTH(M$5+3))+SUMPRODUCT((Vinduer!$A$5:$A$300=$A23)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3" s="19">
        <f>IF($A23="","",IF(COUNTIFS(Måned!$A$5:$A$2000,$A23,Måned!$C$5:$C$2000,MONTH(N$5+3))=0,"",MAX(1,MIN(5,SUMIFS(Måned!$H$5:$H$2000,Måned!$A$5:$A$2000,$A23,Måned!$C$5:$C$2000,MONTH(N$5+3))+SUMPRODUCT((Vinduer!$A$5:$A$300=$A23)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3" s="19">
        <f>IF($A23="","",IF(COUNTIFS(Måned!$A$5:$A$2000,$A23,Måned!$C$5:$C$2000,MONTH(O$5+3))=0,"",MAX(1,MIN(5,SUMIFS(Måned!$H$5:$H$2000,Måned!$A$5:$A$2000,$A23,Måned!$C$5:$C$2000,MONTH(O$5+3))+SUMPRODUCT((Vinduer!$A$5:$A$300=$A23)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3" s="19">
        <f>IF($A23="","",IF(COUNTIFS(Måned!$A$5:$A$2000,$A23,Måned!$C$5:$C$2000,MONTH(P$5+3))=0,"",MAX(1,MIN(5,SUMIFS(Måned!$H$5:$H$2000,Måned!$A$5:$A$2000,$A23,Måned!$C$5:$C$2000,MONTH(P$5+3))+SUMPRODUCT((Vinduer!$A$5:$A$300=$A23)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3" s="19">
        <f>IF($A23="","",IF(COUNTIFS(Måned!$A$5:$A$2000,$A23,Måned!$C$5:$C$2000,MONTH(Q$5+3))=0,"",MAX(1,MIN(5,SUMIFS(Måned!$H$5:$H$2000,Måned!$A$5:$A$2000,$A23,Måned!$C$5:$C$2000,MONTH(Q$5+3))+SUMPRODUCT((Vinduer!$A$5:$A$300=$A23)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3" s="19">
        <f>IF($A23="","",IF(COUNTIFS(Måned!$A$5:$A$2000,$A23,Måned!$C$5:$C$2000,MONTH(R$5+3))=0,"",MAX(1,MIN(5,SUMIFS(Måned!$H$5:$H$2000,Måned!$A$5:$A$2000,$A23,Måned!$C$5:$C$2000,MONTH(R$5+3))+SUMPRODUCT((Vinduer!$A$5:$A$300=$A23)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3" s="19">
        <f>IF($A23="","",IF(COUNTIFS(Måned!$A$5:$A$2000,$A23,Måned!$C$5:$C$2000,MONTH(S$5+3))=0,"",MAX(1,MIN(5,SUMIFS(Måned!$H$5:$H$2000,Måned!$A$5:$A$2000,$A23,Måned!$C$5:$C$2000,MONTH(S$5+3))+SUMPRODUCT((Vinduer!$A$5:$A$300=$A23)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3" s="19">
        <f>IF($A23="","",IF(COUNTIFS(Måned!$A$5:$A$2000,$A23,Måned!$C$5:$C$2000,MONTH(T$5+3))=0,"",MAX(1,MIN(5,SUMIFS(Måned!$H$5:$H$2000,Måned!$A$5:$A$2000,$A23,Måned!$C$5:$C$2000,MONTH(T$5+3))+SUMPRODUCT((Vinduer!$A$5:$A$300=$A23)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3" s="19">
        <f>IF($A23="","",IF(COUNTIFS(Måned!$A$5:$A$2000,$A23,Måned!$C$5:$C$2000,MONTH(U$5+3))=0,"",MAX(1,MIN(5,SUMIFS(Måned!$H$5:$H$2000,Måned!$A$5:$A$2000,$A23,Måned!$C$5:$C$2000,MONTH(U$5+3))+SUMPRODUCT((Vinduer!$A$5:$A$300=$A23)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3" s="19">
        <f>IF($A23="","",IF(COUNTIFS(Måned!$A$5:$A$2000,$A23,Måned!$C$5:$C$2000,MONTH(V$5+3))=0,"",MAX(1,MIN(5,SUMIFS(Måned!$H$5:$H$2000,Måned!$A$5:$A$2000,$A23,Måned!$C$5:$C$2000,MONTH(V$5+3))+SUMPRODUCT((Vinduer!$A$5:$A$300=$A23)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3" s="19">
        <f>IF($A23="","",IF(COUNTIFS(Måned!$A$5:$A$2000,$A23,Måned!$C$5:$C$2000,MONTH(W$5+3))=0,"",MAX(1,MIN(5,SUMIFS(Måned!$H$5:$H$2000,Måned!$A$5:$A$2000,$A23,Måned!$C$5:$C$2000,MONTH(W$5+3))+SUMPRODUCT((Vinduer!$A$5:$A$300=$A23)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3" s="19">
        <f>IF($A23="","",IF(COUNTIFS(Måned!$A$5:$A$2000,$A23,Måned!$C$5:$C$2000,MONTH(X$5+3))=0,"",MAX(1,MIN(5,SUMIFS(Måned!$H$5:$H$2000,Måned!$A$5:$A$2000,$A23,Måned!$C$5:$C$2000,MONTH(X$5+3))+SUMPRODUCT((Vinduer!$A$5:$A$300=$A23)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3" s="19">
        <f>IF($A23="","",IF(COUNTIFS(Måned!$A$5:$A$2000,$A23,Måned!$C$5:$C$2000,MONTH(Y$5+3))=0,"",MAX(1,MIN(5,SUMIFS(Måned!$H$5:$H$2000,Måned!$A$5:$A$2000,$A23,Måned!$C$5:$C$2000,MONTH(Y$5+3))+SUMPRODUCT((Vinduer!$A$5:$A$300=$A23)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3" s="19">
        <f>IF($A23="","",IF(COUNTIFS(Måned!$A$5:$A$2000,$A23,Måned!$C$5:$C$2000,MONTH(Z$5+3))=0,"",MAX(1,MIN(5,SUMIFS(Måned!$H$5:$H$2000,Måned!$A$5:$A$2000,$A23,Måned!$C$5:$C$2000,MONTH(Z$5+3))+SUMPRODUCT((Vinduer!$A$5:$A$300=$A23)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3" s="19">
        <f>IF($A23="","",IF(COUNTIFS(Måned!$A$5:$A$2000,$A23,Måned!$C$5:$C$2000,MONTH(AA$5+3))=0,"",MAX(1,MIN(5,SUMIFS(Måned!$H$5:$H$2000,Måned!$A$5:$A$2000,$A23,Måned!$C$5:$C$2000,MONTH(AA$5+3))+SUMPRODUCT((Vinduer!$A$5:$A$300=$A23)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3" s="19">
        <f>IF($A23="","",IF(COUNTIFS(Måned!$A$5:$A$2000,$A23,Måned!$C$5:$C$2000,MONTH(AB$5+3))=0,"",MAX(1,MIN(5,SUMIFS(Måned!$H$5:$H$2000,Måned!$A$5:$A$2000,$A23,Måned!$C$5:$C$2000,MONTH(AB$5+3))+SUMPRODUCT((Vinduer!$A$5:$A$300=$A23)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3" s="19">
        <f>IF($A23="","",IF(COUNTIFS(Måned!$A$5:$A$2000,$A23,Måned!$C$5:$C$2000,MONTH(AC$5+3))=0,"",MAX(1,MIN(5,SUMIFS(Måned!$H$5:$H$2000,Måned!$A$5:$A$2000,$A23,Måned!$C$5:$C$2000,MONTH(AC$5+3))+SUMPRODUCT((Vinduer!$A$5:$A$300=$A23)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3" s="19">
        <f>IF($A23="","",IF(COUNTIFS(Måned!$A$5:$A$2000,$A23,Måned!$C$5:$C$2000,MONTH(AD$5+3))=0,"",MAX(1,MIN(5,SUMIFS(Måned!$H$5:$H$2000,Måned!$A$5:$A$2000,$A23,Måned!$C$5:$C$2000,MONTH(AD$5+3))+SUMPRODUCT((Vinduer!$A$5:$A$300=$A23)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3" s="19">
        <f>IF($A23="","",IF(COUNTIFS(Måned!$A$5:$A$2000,$A23,Måned!$C$5:$C$2000,MONTH(AE$5+3))=0,"",MAX(1,MIN(5,SUMIFS(Måned!$H$5:$H$2000,Måned!$A$5:$A$2000,$A23,Måned!$C$5:$C$2000,MONTH(AE$5+3))+SUMPRODUCT((Vinduer!$A$5:$A$300=$A23)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3" s="19">
        <f>IF($A23="","",IF(COUNTIFS(Måned!$A$5:$A$2000,$A23,Måned!$C$5:$C$2000,MONTH(AF$5+3))=0,"",MAX(1,MIN(5,SUMIFS(Måned!$H$5:$H$2000,Måned!$A$5:$A$2000,$A23,Måned!$C$5:$C$2000,MONTH(AF$5+3))+SUMPRODUCT((Vinduer!$A$5:$A$300=$A23)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3" s="19">
        <f>IF($A23="","",IF(COUNTIFS(Måned!$A$5:$A$2000,$A23,Måned!$C$5:$C$2000,MONTH(AG$5+3))=0,"",MAX(1,MIN(5,SUMIFS(Måned!$H$5:$H$2000,Måned!$A$5:$A$2000,$A23,Måned!$C$5:$C$2000,MONTH(AG$5+3))+SUMPRODUCT((Vinduer!$A$5:$A$300=$A23)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3" s="19">
        <f>IF($A23="","",IF(COUNTIFS(Måned!$A$5:$A$2000,$A23,Måned!$C$5:$C$2000,MONTH(AH$5+3))=0,"",MAX(1,MIN(5,SUMIFS(Måned!$H$5:$H$2000,Måned!$A$5:$A$2000,$A23,Måned!$C$5:$C$2000,MONTH(AH$5+3))+SUMPRODUCT((Vinduer!$A$5:$A$300=$A23)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3" s="19">
        <f>IF($A23="","",IF(COUNTIFS(Måned!$A$5:$A$2000,$A23,Måned!$C$5:$C$2000,MONTH(AI$5+3))=0,"",MAX(1,MIN(5,SUMIFS(Måned!$H$5:$H$2000,Måned!$A$5:$A$2000,$A23,Måned!$C$5:$C$2000,MONTH(AI$5+3))+SUMPRODUCT((Vinduer!$A$5:$A$300=$A23)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3" s="19">
        <f>IF($A23="","",IF(COUNTIFS(Måned!$A$5:$A$2000,$A23,Måned!$C$5:$C$2000,MONTH(AJ$5+3))=0,"",MAX(1,MIN(5,SUMIFS(Måned!$H$5:$H$2000,Måned!$A$5:$A$2000,$A23,Måned!$C$5:$C$2000,MONTH(AJ$5+3))+SUMPRODUCT((Vinduer!$A$5:$A$300=$A23)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3" s="19">
        <f>IF($A23="","",IF(COUNTIFS(Måned!$A$5:$A$2000,$A23,Måned!$C$5:$C$2000,MONTH(AK$5+3))=0,"",MAX(1,MIN(5,SUMIFS(Måned!$H$5:$H$2000,Måned!$A$5:$A$2000,$A23,Måned!$C$5:$C$2000,MONTH(AK$5+3))+SUMPRODUCT((Vinduer!$A$5:$A$300=$A23)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3" s="19">
        <f>IF($A23="","",IF(COUNTIFS(Måned!$A$5:$A$2000,$A23,Måned!$C$5:$C$2000,MONTH(AL$5+3))=0,"",MAX(1,MIN(5,SUMIFS(Måned!$H$5:$H$2000,Måned!$A$5:$A$2000,$A23,Måned!$C$5:$C$2000,MONTH(AL$5+3))+SUMPRODUCT((Vinduer!$A$5:$A$300=$A23)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3" s="19">
        <f>IF($A23="","",IF(COUNTIFS(Måned!$A$5:$A$2000,$A23,Måned!$C$5:$C$2000,MONTH(AM$5+3))=0,"",MAX(1,MIN(5,SUMIFS(Måned!$H$5:$H$2000,Måned!$A$5:$A$2000,$A23,Måned!$C$5:$C$2000,MONTH(AM$5+3))+SUMPRODUCT((Vinduer!$A$5:$A$300=$A23)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3" s="19">
        <f>IF($A23="","",IF(COUNTIFS(Måned!$A$5:$A$2000,$A23,Måned!$C$5:$C$2000,MONTH(AN$5+3))=0,"",MAX(1,MIN(5,SUMIFS(Måned!$H$5:$H$2000,Måned!$A$5:$A$2000,$A23,Måned!$C$5:$C$2000,MONTH(AN$5+3))+SUMPRODUCT((Vinduer!$A$5:$A$300=$A23)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3" s="19">
        <f>IF($A23="","",IF(COUNTIFS(Måned!$A$5:$A$2000,$A23,Måned!$C$5:$C$2000,MONTH(AO$5+3))=0,"",MAX(1,MIN(5,SUMIFS(Måned!$H$5:$H$2000,Måned!$A$5:$A$2000,$A23,Måned!$C$5:$C$2000,MONTH(AO$5+3))+SUMPRODUCT((Vinduer!$A$5:$A$300=$A23)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3" s="19">
        <f>IF($A23="","",IF(COUNTIFS(Måned!$A$5:$A$2000,$A23,Måned!$C$5:$C$2000,MONTH(AP$5+3))=0,"",MAX(1,MIN(5,SUMIFS(Måned!$H$5:$H$2000,Måned!$A$5:$A$2000,$A23,Måned!$C$5:$C$2000,MONTH(AP$5+3))+SUMPRODUCT((Vinduer!$A$5:$A$300=$A23)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3" s="19">
        <f>IF($A23="","",IF(COUNTIFS(Måned!$A$5:$A$2000,$A23,Måned!$C$5:$C$2000,MONTH(AQ$5+3))=0,"",MAX(1,MIN(5,SUMIFS(Måned!$H$5:$H$2000,Måned!$A$5:$A$2000,$A23,Måned!$C$5:$C$2000,MONTH(AQ$5+3))+SUMPRODUCT((Vinduer!$A$5:$A$300=$A23)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3" s="19">
        <f>IF($A23="","",IF(COUNTIFS(Måned!$A$5:$A$2000,$A23,Måned!$C$5:$C$2000,MONTH(AR$5+3))=0,"",MAX(1,MIN(5,SUMIFS(Måned!$H$5:$H$2000,Måned!$A$5:$A$2000,$A23,Måned!$C$5:$C$2000,MONTH(AR$5+3))+SUMPRODUCT((Vinduer!$A$5:$A$300=$A23)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3" s="19">
        <f>IF($A23="","",IF(COUNTIFS(Måned!$A$5:$A$2000,$A23,Måned!$C$5:$C$2000,MONTH(AS$5+3))=0,"",MAX(1,MIN(5,SUMIFS(Måned!$H$5:$H$2000,Måned!$A$5:$A$2000,$A23,Måned!$C$5:$C$2000,MONTH(AS$5+3))+SUMPRODUCT((Vinduer!$A$5:$A$300=$A23)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3" s="19">
        <f>IF($A23="","",IF(COUNTIFS(Måned!$A$5:$A$2000,$A23,Måned!$C$5:$C$2000,MONTH(AT$5+3))=0,"",MAX(1,MIN(5,SUMIFS(Måned!$H$5:$H$2000,Måned!$A$5:$A$2000,$A23,Måned!$C$5:$C$2000,MONTH(AT$5+3))+SUMPRODUCT((Vinduer!$A$5:$A$300=$A23)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3" s="19">
        <f>IF($A23="","",IF(COUNTIFS(Måned!$A$5:$A$2000,$A23,Måned!$C$5:$C$2000,MONTH(AU$5+3))=0,"",MAX(1,MIN(5,SUMIFS(Måned!$H$5:$H$2000,Måned!$A$5:$A$2000,$A23,Måned!$C$5:$C$2000,MONTH(AU$5+3))+SUMPRODUCT((Vinduer!$A$5:$A$300=$A23)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3" s="19">
        <f>IF($A23="","",IF(COUNTIFS(Måned!$A$5:$A$2000,$A23,Måned!$C$5:$C$2000,MONTH(AV$5+3))=0,"",MAX(1,MIN(5,SUMIFS(Måned!$H$5:$H$2000,Måned!$A$5:$A$2000,$A23,Måned!$C$5:$C$2000,MONTH(AV$5+3))+SUMPRODUCT((Vinduer!$A$5:$A$300=$A23)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3" s="19">
        <f>IF($A23="","",IF(COUNTIFS(Måned!$A$5:$A$2000,$A23,Måned!$C$5:$C$2000,MONTH(AW$5+3))=0,"",MAX(1,MIN(5,SUMIFS(Måned!$H$5:$H$2000,Måned!$A$5:$A$2000,$A23,Måned!$C$5:$C$2000,MONTH(AW$5+3))+SUMPRODUCT((Vinduer!$A$5:$A$300=$A23)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3" s="19">
        <f>IF($A23="","",IF(COUNTIFS(Måned!$A$5:$A$2000,$A23,Måned!$C$5:$C$2000,MONTH(AX$5+3))=0,"",MAX(1,MIN(5,SUMIFS(Måned!$H$5:$H$2000,Måned!$A$5:$A$2000,$A23,Måned!$C$5:$C$2000,MONTH(AX$5+3))+SUMPRODUCT((Vinduer!$A$5:$A$300=$A23)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3" s="19">
        <f>IF($A23="","",IF(COUNTIFS(Måned!$A$5:$A$2000,$A23,Måned!$C$5:$C$2000,MONTH(AY$5+3))=0,"",MAX(1,MIN(5,SUMIFS(Måned!$H$5:$H$2000,Måned!$A$5:$A$2000,$A23,Måned!$C$5:$C$2000,MONTH(AY$5+3))+SUMPRODUCT((Vinduer!$A$5:$A$300=$A23)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3" s="19">
        <f>IF($A23="","",IF(COUNTIFS(Måned!$A$5:$A$2000,$A23,Måned!$C$5:$C$2000,MONTH(AZ$5+3))=0,"",MAX(1,MIN(5,SUMIFS(Måned!$H$5:$H$2000,Måned!$A$5:$A$2000,$A23,Måned!$C$5:$C$2000,MONTH(AZ$5+3))+SUMPRODUCT((Vinduer!$A$5:$A$300=$A23)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3" s="19">
        <f>IF($A23="","",IF(COUNTIFS(Måned!$A$5:$A$2000,$A23,Måned!$C$5:$C$2000,MONTH(BA$5+3))=0,"",MAX(1,MIN(5,SUMIFS(Måned!$H$5:$H$2000,Måned!$A$5:$A$2000,$A23,Måned!$C$5:$C$2000,MONTH(BA$5+3))+SUMPRODUCT((Vinduer!$A$5:$A$300=$A23)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3" s="19">
        <f>IF($A23="","",IF(COUNTIFS(Måned!$A$5:$A$2000,$A23,Måned!$C$5:$C$2000,MONTH(BB$5+3))=0,"",MAX(1,MIN(5,SUMIFS(Måned!$H$5:$H$2000,Måned!$A$5:$A$2000,$A23,Måned!$C$5:$C$2000,MONTH(BB$5+3))+SUMPRODUCT((Vinduer!$A$5:$A$300=$A23)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3" s="19">
        <f>IF($A23="","",IF(COUNTIFS(Måned!$A$5:$A$2000,$A23,Måned!$C$5:$C$2000,MONTH(BC$5+3))=0,"",MAX(1,MIN(5,SUMIFS(Måned!$H$5:$H$2000,Måned!$A$5:$A$2000,$A23,Måned!$C$5:$C$2000,MONTH(BC$5+3))+SUMPRODUCT((Vinduer!$A$5:$A$300=$A23)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3" s="19">
        <f>IF($A23="","",IF(COUNTIFS(Måned!$A$5:$A$2000,$A23,Måned!$C$5:$C$2000,MONTH(BD$5+3))=0,"",MAX(1,MIN(5,SUMIFS(Måned!$H$5:$H$2000,Måned!$A$5:$A$2000,$A23,Måned!$C$5:$C$2000,MONTH(BD$5+3))+SUMPRODUCT((Vinduer!$A$5:$A$300=$A23)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3" s="19">
        <f>IF($A23="","",IF(COUNTIFS(Måned!$A$5:$A$2000,$A23,Måned!$C$5:$C$2000,MONTH(BE$5+3))=0,"",MAX(1,MIN(5,SUMIFS(Måned!$H$5:$H$2000,Måned!$A$5:$A$2000,$A23,Måned!$C$5:$C$2000,MONTH(BE$5+3))+SUMPRODUCT((Vinduer!$A$5:$A$300=$A23)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4">
      <c r="A24" s="5">
        <f>IF(Destinasjoner!A20="","",Destinasjoner!A20)</f>
        <v/>
      </c>
      <c r="B24" s="5">
        <f>IF(A24="","",Destinasjoner!E20)</f>
        <v/>
      </c>
      <c r="C24" s="5">
        <f>IF(A24="","",Destinasjoner!B20)</f>
        <v/>
      </c>
      <c r="D24" s="17">
        <f>IFERROR(SUMIFS(F24:BE24,$F$7:$BE$7,"x")/COUNTIFS($F$7:$BE$7,"x",F24:BE24,"&gt;0"),"")</f>
        <v/>
      </c>
      <c r="E24" s="18">
        <f>IF(D24="","",_xlfn.MINIFS(F24:BE24,$F$7:$BE$7,"x",F24:BE24,"&gt;0"))</f>
        <v/>
      </c>
      <c r="F24" s="19">
        <f>IF($A24="","",IF(COUNTIFS(Måned!$A$5:$A$2000,$A24,Måned!$C$5:$C$2000,MONTH(F$5+3))=0,"",MAX(1,MIN(5,SUMIFS(Måned!$H$5:$H$2000,Måned!$A$5:$A$2000,$A24,Måned!$C$5:$C$2000,MONTH(F$5+3))+SUMPRODUCT((Vinduer!$A$5:$A$300=$A24)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4" s="19">
        <f>IF($A24="","",IF(COUNTIFS(Måned!$A$5:$A$2000,$A24,Måned!$C$5:$C$2000,MONTH(G$5+3))=0,"",MAX(1,MIN(5,SUMIFS(Måned!$H$5:$H$2000,Måned!$A$5:$A$2000,$A24,Måned!$C$5:$C$2000,MONTH(G$5+3))+SUMPRODUCT((Vinduer!$A$5:$A$300=$A24)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4" s="19">
        <f>IF($A24="","",IF(COUNTIFS(Måned!$A$5:$A$2000,$A24,Måned!$C$5:$C$2000,MONTH(H$5+3))=0,"",MAX(1,MIN(5,SUMIFS(Måned!$H$5:$H$2000,Måned!$A$5:$A$2000,$A24,Måned!$C$5:$C$2000,MONTH(H$5+3))+SUMPRODUCT((Vinduer!$A$5:$A$300=$A24)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4" s="19">
        <f>IF($A24="","",IF(COUNTIFS(Måned!$A$5:$A$2000,$A24,Måned!$C$5:$C$2000,MONTH(I$5+3))=0,"",MAX(1,MIN(5,SUMIFS(Måned!$H$5:$H$2000,Måned!$A$5:$A$2000,$A24,Måned!$C$5:$C$2000,MONTH(I$5+3))+SUMPRODUCT((Vinduer!$A$5:$A$300=$A24)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4" s="19">
        <f>IF($A24="","",IF(COUNTIFS(Måned!$A$5:$A$2000,$A24,Måned!$C$5:$C$2000,MONTH(J$5+3))=0,"",MAX(1,MIN(5,SUMIFS(Måned!$H$5:$H$2000,Måned!$A$5:$A$2000,$A24,Måned!$C$5:$C$2000,MONTH(J$5+3))+SUMPRODUCT((Vinduer!$A$5:$A$300=$A24)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4" s="19">
        <f>IF($A24="","",IF(COUNTIFS(Måned!$A$5:$A$2000,$A24,Måned!$C$5:$C$2000,MONTH(K$5+3))=0,"",MAX(1,MIN(5,SUMIFS(Måned!$H$5:$H$2000,Måned!$A$5:$A$2000,$A24,Måned!$C$5:$C$2000,MONTH(K$5+3))+SUMPRODUCT((Vinduer!$A$5:$A$300=$A24)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4" s="19">
        <f>IF($A24="","",IF(COUNTIFS(Måned!$A$5:$A$2000,$A24,Måned!$C$5:$C$2000,MONTH(L$5+3))=0,"",MAX(1,MIN(5,SUMIFS(Måned!$H$5:$H$2000,Måned!$A$5:$A$2000,$A24,Måned!$C$5:$C$2000,MONTH(L$5+3))+SUMPRODUCT((Vinduer!$A$5:$A$300=$A24)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4" s="19">
        <f>IF($A24="","",IF(COUNTIFS(Måned!$A$5:$A$2000,$A24,Måned!$C$5:$C$2000,MONTH(M$5+3))=0,"",MAX(1,MIN(5,SUMIFS(Måned!$H$5:$H$2000,Måned!$A$5:$A$2000,$A24,Måned!$C$5:$C$2000,MONTH(M$5+3))+SUMPRODUCT((Vinduer!$A$5:$A$300=$A24)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4" s="19">
        <f>IF($A24="","",IF(COUNTIFS(Måned!$A$5:$A$2000,$A24,Måned!$C$5:$C$2000,MONTH(N$5+3))=0,"",MAX(1,MIN(5,SUMIFS(Måned!$H$5:$H$2000,Måned!$A$5:$A$2000,$A24,Måned!$C$5:$C$2000,MONTH(N$5+3))+SUMPRODUCT((Vinduer!$A$5:$A$300=$A24)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4" s="19">
        <f>IF($A24="","",IF(COUNTIFS(Måned!$A$5:$A$2000,$A24,Måned!$C$5:$C$2000,MONTH(O$5+3))=0,"",MAX(1,MIN(5,SUMIFS(Måned!$H$5:$H$2000,Måned!$A$5:$A$2000,$A24,Måned!$C$5:$C$2000,MONTH(O$5+3))+SUMPRODUCT((Vinduer!$A$5:$A$300=$A24)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4" s="19">
        <f>IF($A24="","",IF(COUNTIFS(Måned!$A$5:$A$2000,$A24,Måned!$C$5:$C$2000,MONTH(P$5+3))=0,"",MAX(1,MIN(5,SUMIFS(Måned!$H$5:$H$2000,Måned!$A$5:$A$2000,$A24,Måned!$C$5:$C$2000,MONTH(P$5+3))+SUMPRODUCT((Vinduer!$A$5:$A$300=$A24)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4" s="19">
        <f>IF($A24="","",IF(COUNTIFS(Måned!$A$5:$A$2000,$A24,Måned!$C$5:$C$2000,MONTH(Q$5+3))=0,"",MAX(1,MIN(5,SUMIFS(Måned!$H$5:$H$2000,Måned!$A$5:$A$2000,$A24,Måned!$C$5:$C$2000,MONTH(Q$5+3))+SUMPRODUCT((Vinduer!$A$5:$A$300=$A24)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4" s="19">
        <f>IF($A24="","",IF(COUNTIFS(Måned!$A$5:$A$2000,$A24,Måned!$C$5:$C$2000,MONTH(R$5+3))=0,"",MAX(1,MIN(5,SUMIFS(Måned!$H$5:$H$2000,Måned!$A$5:$A$2000,$A24,Måned!$C$5:$C$2000,MONTH(R$5+3))+SUMPRODUCT((Vinduer!$A$5:$A$300=$A24)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4" s="19">
        <f>IF($A24="","",IF(COUNTIFS(Måned!$A$5:$A$2000,$A24,Måned!$C$5:$C$2000,MONTH(S$5+3))=0,"",MAX(1,MIN(5,SUMIFS(Måned!$H$5:$H$2000,Måned!$A$5:$A$2000,$A24,Måned!$C$5:$C$2000,MONTH(S$5+3))+SUMPRODUCT((Vinduer!$A$5:$A$300=$A24)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4" s="19">
        <f>IF($A24="","",IF(COUNTIFS(Måned!$A$5:$A$2000,$A24,Måned!$C$5:$C$2000,MONTH(T$5+3))=0,"",MAX(1,MIN(5,SUMIFS(Måned!$H$5:$H$2000,Måned!$A$5:$A$2000,$A24,Måned!$C$5:$C$2000,MONTH(T$5+3))+SUMPRODUCT((Vinduer!$A$5:$A$300=$A24)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4" s="19">
        <f>IF($A24="","",IF(COUNTIFS(Måned!$A$5:$A$2000,$A24,Måned!$C$5:$C$2000,MONTH(U$5+3))=0,"",MAX(1,MIN(5,SUMIFS(Måned!$H$5:$H$2000,Måned!$A$5:$A$2000,$A24,Måned!$C$5:$C$2000,MONTH(U$5+3))+SUMPRODUCT((Vinduer!$A$5:$A$300=$A24)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4" s="19">
        <f>IF($A24="","",IF(COUNTIFS(Måned!$A$5:$A$2000,$A24,Måned!$C$5:$C$2000,MONTH(V$5+3))=0,"",MAX(1,MIN(5,SUMIFS(Måned!$H$5:$H$2000,Måned!$A$5:$A$2000,$A24,Måned!$C$5:$C$2000,MONTH(V$5+3))+SUMPRODUCT((Vinduer!$A$5:$A$300=$A24)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4" s="19">
        <f>IF($A24="","",IF(COUNTIFS(Måned!$A$5:$A$2000,$A24,Måned!$C$5:$C$2000,MONTH(W$5+3))=0,"",MAX(1,MIN(5,SUMIFS(Måned!$H$5:$H$2000,Måned!$A$5:$A$2000,$A24,Måned!$C$5:$C$2000,MONTH(W$5+3))+SUMPRODUCT((Vinduer!$A$5:$A$300=$A24)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4" s="19">
        <f>IF($A24="","",IF(COUNTIFS(Måned!$A$5:$A$2000,$A24,Måned!$C$5:$C$2000,MONTH(X$5+3))=0,"",MAX(1,MIN(5,SUMIFS(Måned!$H$5:$H$2000,Måned!$A$5:$A$2000,$A24,Måned!$C$5:$C$2000,MONTH(X$5+3))+SUMPRODUCT((Vinduer!$A$5:$A$300=$A24)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4" s="19">
        <f>IF($A24="","",IF(COUNTIFS(Måned!$A$5:$A$2000,$A24,Måned!$C$5:$C$2000,MONTH(Y$5+3))=0,"",MAX(1,MIN(5,SUMIFS(Måned!$H$5:$H$2000,Måned!$A$5:$A$2000,$A24,Måned!$C$5:$C$2000,MONTH(Y$5+3))+SUMPRODUCT((Vinduer!$A$5:$A$300=$A24)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4" s="19">
        <f>IF($A24="","",IF(COUNTIFS(Måned!$A$5:$A$2000,$A24,Måned!$C$5:$C$2000,MONTH(Z$5+3))=0,"",MAX(1,MIN(5,SUMIFS(Måned!$H$5:$H$2000,Måned!$A$5:$A$2000,$A24,Måned!$C$5:$C$2000,MONTH(Z$5+3))+SUMPRODUCT((Vinduer!$A$5:$A$300=$A24)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4" s="19">
        <f>IF($A24="","",IF(COUNTIFS(Måned!$A$5:$A$2000,$A24,Måned!$C$5:$C$2000,MONTH(AA$5+3))=0,"",MAX(1,MIN(5,SUMIFS(Måned!$H$5:$H$2000,Måned!$A$5:$A$2000,$A24,Måned!$C$5:$C$2000,MONTH(AA$5+3))+SUMPRODUCT((Vinduer!$A$5:$A$300=$A24)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4" s="19">
        <f>IF($A24="","",IF(COUNTIFS(Måned!$A$5:$A$2000,$A24,Måned!$C$5:$C$2000,MONTH(AB$5+3))=0,"",MAX(1,MIN(5,SUMIFS(Måned!$H$5:$H$2000,Måned!$A$5:$A$2000,$A24,Måned!$C$5:$C$2000,MONTH(AB$5+3))+SUMPRODUCT((Vinduer!$A$5:$A$300=$A24)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4" s="19">
        <f>IF($A24="","",IF(COUNTIFS(Måned!$A$5:$A$2000,$A24,Måned!$C$5:$C$2000,MONTH(AC$5+3))=0,"",MAX(1,MIN(5,SUMIFS(Måned!$H$5:$H$2000,Måned!$A$5:$A$2000,$A24,Måned!$C$5:$C$2000,MONTH(AC$5+3))+SUMPRODUCT((Vinduer!$A$5:$A$300=$A24)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4" s="19">
        <f>IF($A24="","",IF(COUNTIFS(Måned!$A$5:$A$2000,$A24,Måned!$C$5:$C$2000,MONTH(AD$5+3))=0,"",MAX(1,MIN(5,SUMIFS(Måned!$H$5:$H$2000,Måned!$A$5:$A$2000,$A24,Måned!$C$5:$C$2000,MONTH(AD$5+3))+SUMPRODUCT((Vinduer!$A$5:$A$300=$A24)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4" s="19">
        <f>IF($A24="","",IF(COUNTIFS(Måned!$A$5:$A$2000,$A24,Måned!$C$5:$C$2000,MONTH(AE$5+3))=0,"",MAX(1,MIN(5,SUMIFS(Måned!$H$5:$H$2000,Måned!$A$5:$A$2000,$A24,Måned!$C$5:$C$2000,MONTH(AE$5+3))+SUMPRODUCT((Vinduer!$A$5:$A$300=$A24)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4" s="19">
        <f>IF($A24="","",IF(COUNTIFS(Måned!$A$5:$A$2000,$A24,Måned!$C$5:$C$2000,MONTH(AF$5+3))=0,"",MAX(1,MIN(5,SUMIFS(Måned!$H$5:$H$2000,Måned!$A$5:$A$2000,$A24,Måned!$C$5:$C$2000,MONTH(AF$5+3))+SUMPRODUCT((Vinduer!$A$5:$A$300=$A24)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4" s="19">
        <f>IF($A24="","",IF(COUNTIFS(Måned!$A$5:$A$2000,$A24,Måned!$C$5:$C$2000,MONTH(AG$5+3))=0,"",MAX(1,MIN(5,SUMIFS(Måned!$H$5:$H$2000,Måned!$A$5:$A$2000,$A24,Måned!$C$5:$C$2000,MONTH(AG$5+3))+SUMPRODUCT((Vinduer!$A$5:$A$300=$A24)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4" s="19">
        <f>IF($A24="","",IF(COUNTIFS(Måned!$A$5:$A$2000,$A24,Måned!$C$5:$C$2000,MONTH(AH$5+3))=0,"",MAX(1,MIN(5,SUMIFS(Måned!$H$5:$H$2000,Måned!$A$5:$A$2000,$A24,Måned!$C$5:$C$2000,MONTH(AH$5+3))+SUMPRODUCT((Vinduer!$A$5:$A$300=$A24)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4" s="19">
        <f>IF($A24="","",IF(COUNTIFS(Måned!$A$5:$A$2000,$A24,Måned!$C$5:$C$2000,MONTH(AI$5+3))=0,"",MAX(1,MIN(5,SUMIFS(Måned!$H$5:$H$2000,Måned!$A$5:$A$2000,$A24,Måned!$C$5:$C$2000,MONTH(AI$5+3))+SUMPRODUCT((Vinduer!$A$5:$A$300=$A24)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4" s="19">
        <f>IF($A24="","",IF(COUNTIFS(Måned!$A$5:$A$2000,$A24,Måned!$C$5:$C$2000,MONTH(AJ$5+3))=0,"",MAX(1,MIN(5,SUMIFS(Måned!$H$5:$H$2000,Måned!$A$5:$A$2000,$A24,Måned!$C$5:$C$2000,MONTH(AJ$5+3))+SUMPRODUCT((Vinduer!$A$5:$A$300=$A24)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4" s="19">
        <f>IF($A24="","",IF(COUNTIFS(Måned!$A$5:$A$2000,$A24,Måned!$C$5:$C$2000,MONTH(AK$5+3))=0,"",MAX(1,MIN(5,SUMIFS(Måned!$H$5:$H$2000,Måned!$A$5:$A$2000,$A24,Måned!$C$5:$C$2000,MONTH(AK$5+3))+SUMPRODUCT((Vinduer!$A$5:$A$300=$A24)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4" s="19">
        <f>IF($A24="","",IF(COUNTIFS(Måned!$A$5:$A$2000,$A24,Måned!$C$5:$C$2000,MONTH(AL$5+3))=0,"",MAX(1,MIN(5,SUMIFS(Måned!$H$5:$H$2000,Måned!$A$5:$A$2000,$A24,Måned!$C$5:$C$2000,MONTH(AL$5+3))+SUMPRODUCT((Vinduer!$A$5:$A$300=$A24)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4" s="19">
        <f>IF($A24="","",IF(COUNTIFS(Måned!$A$5:$A$2000,$A24,Måned!$C$5:$C$2000,MONTH(AM$5+3))=0,"",MAX(1,MIN(5,SUMIFS(Måned!$H$5:$H$2000,Måned!$A$5:$A$2000,$A24,Måned!$C$5:$C$2000,MONTH(AM$5+3))+SUMPRODUCT((Vinduer!$A$5:$A$300=$A24)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4" s="19">
        <f>IF($A24="","",IF(COUNTIFS(Måned!$A$5:$A$2000,$A24,Måned!$C$5:$C$2000,MONTH(AN$5+3))=0,"",MAX(1,MIN(5,SUMIFS(Måned!$H$5:$H$2000,Måned!$A$5:$A$2000,$A24,Måned!$C$5:$C$2000,MONTH(AN$5+3))+SUMPRODUCT((Vinduer!$A$5:$A$300=$A24)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4" s="19">
        <f>IF($A24="","",IF(COUNTIFS(Måned!$A$5:$A$2000,$A24,Måned!$C$5:$C$2000,MONTH(AO$5+3))=0,"",MAX(1,MIN(5,SUMIFS(Måned!$H$5:$H$2000,Måned!$A$5:$A$2000,$A24,Måned!$C$5:$C$2000,MONTH(AO$5+3))+SUMPRODUCT((Vinduer!$A$5:$A$300=$A24)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4" s="19">
        <f>IF($A24="","",IF(COUNTIFS(Måned!$A$5:$A$2000,$A24,Måned!$C$5:$C$2000,MONTH(AP$5+3))=0,"",MAX(1,MIN(5,SUMIFS(Måned!$H$5:$H$2000,Måned!$A$5:$A$2000,$A24,Måned!$C$5:$C$2000,MONTH(AP$5+3))+SUMPRODUCT((Vinduer!$A$5:$A$300=$A24)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4" s="19">
        <f>IF($A24="","",IF(COUNTIFS(Måned!$A$5:$A$2000,$A24,Måned!$C$5:$C$2000,MONTH(AQ$5+3))=0,"",MAX(1,MIN(5,SUMIFS(Måned!$H$5:$H$2000,Måned!$A$5:$A$2000,$A24,Måned!$C$5:$C$2000,MONTH(AQ$5+3))+SUMPRODUCT((Vinduer!$A$5:$A$300=$A24)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4" s="19">
        <f>IF($A24="","",IF(COUNTIFS(Måned!$A$5:$A$2000,$A24,Måned!$C$5:$C$2000,MONTH(AR$5+3))=0,"",MAX(1,MIN(5,SUMIFS(Måned!$H$5:$H$2000,Måned!$A$5:$A$2000,$A24,Måned!$C$5:$C$2000,MONTH(AR$5+3))+SUMPRODUCT((Vinduer!$A$5:$A$300=$A24)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4" s="19">
        <f>IF($A24="","",IF(COUNTIFS(Måned!$A$5:$A$2000,$A24,Måned!$C$5:$C$2000,MONTH(AS$5+3))=0,"",MAX(1,MIN(5,SUMIFS(Måned!$H$5:$H$2000,Måned!$A$5:$A$2000,$A24,Måned!$C$5:$C$2000,MONTH(AS$5+3))+SUMPRODUCT((Vinduer!$A$5:$A$300=$A24)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4" s="19">
        <f>IF($A24="","",IF(COUNTIFS(Måned!$A$5:$A$2000,$A24,Måned!$C$5:$C$2000,MONTH(AT$5+3))=0,"",MAX(1,MIN(5,SUMIFS(Måned!$H$5:$H$2000,Måned!$A$5:$A$2000,$A24,Måned!$C$5:$C$2000,MONTH(AT$5+3))+SUMPRODUCT((Vinduer!$A$5:$A$300=$A24)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4" s="19">
        <f>IF($A24="","",IF(COUNTIFS(Måned!$A$5:$A$2000,$A24,Måned!$C$5:$C$2000,MONTH(AU$5+3))=0,"",MAX(1,MIN(5,SUMIFS(Måned!$H$5:$H$2000,Måned!$A$5:$A$2000,$A24,Måned!$C$5:$C$2000,MONTH(AU$5+3))+SUMPRODUCT((Vinduer!$A$5:$A$300=$A24)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4" s="19">
        <f>IF($A24="","",IF(COUNTIFS(Måned!$A$5:$A$2000,$A24,Måned!$C$5:$C$2000,MONTH(AV$5+3))=0,"",MAX(1,MIN(5,SUMIFS(Måned!$H$5:$H$2000,Måned!$A$5:$A$2000,$A24,Måned!$C$5:$C$2000,MONTH(AV$5+3))+SUMPRODUCT((Vinduer!$A$5:$A$300=$A24)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4" s="19">
        <f>IF($A24="","",IF(COUNTIFS(Måned!$A$5:$A$2000,$A24,Måned!$C$5:$C$2000,MONTH(AW$5+3))=0,"",MAX(1,MIN(5,SUMIFS(Måned!$H$5:$H$2000,Måned!$A$5:$A$2000,$A24,Måned!$C$5:$C$2000,MONTH(AW$5+3))+SUMPRODUCT((Vinduer!$A$5:$A$300=$A24)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4" s="19">
        <f>IF($A24="","",IF(COUNTIFS(Måned!$A$5:$A$2000,$A24,Måned!$C$5:$C$2000,MONTH(AX$5+3))=0,"",MAX(1,MIN(5,SUMIFS(Måned!$H$5:$H$2000,Måned!$A$5:$A$2000,$A24,Måned!$C$5:$C$2000,MONTH(AX$5+3))+SUMPRODUCT((Vinduer!$A$5:$A$300=$A24)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4" s="19">
        <f>IF($A24="","",IF(COUNTIFS(Måned!$A$5:$A$2000,$A24,Måned!$C$5:$C$2000,MONTH(AY$5+3))=0,"",MAX(1,MIN(5,SUMIFS(Måned!$H$5:$H$2000,Måned!$A$5:$A$2000,$A24,Måned!$C$5:$C$2000,MONTH(AY$5+3))+SUMPRODUCT((Vinduer!$A$5:$A$300=$A24)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4" s="19">
        <f>IF($A24="","",IF(COUNTIFS(Måned!$A$5:$A$2000,$A24,Måned!$C$5:$C$2000,MONTH(AZ$5+3))=0,"",MAX(1,MIN(5,SUMIFS(Måned!$H$5:$H$2000,Måned!$A$5:$A$2000,$A24,Måned!$C$5:$C$2000,MONTH(AZ$5+3))+SUMPRODUCT((Vinduer!$A$5:$A$300=$A24)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4" s="19">
        <f>IF($A24="","",IF(COUNTIFS(Måned!$A$5:$A$2000,$A24,Måned!$C$5:$C$2000,MONTH(BA$5+3))=0,"",MAX(1,MIN(5,SUMIFS(Måned!$H$5:$H$2000,Måned!$A$5:$A$2000,$A24,Måned!$C$5:$C$2000,MONTH(BA$5+3))+SUMPRODUCT((Vinduer!$A$5:$A$300=$A24)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4" s="19">
        <f>IF($A24="","",IF(COUNTIFS(Måned!$A$5:$A$2000,$A24,Måned!$C$5:$C$2000,MONTH(BB$5+3))=0,"",MAX(1,MIN(5,SUMIFS(Måned!$H$5:$H$2000,Måned!$A$5:$A$2000,$A24,Måned!$C$5:$C$2000,MONTH(BB$5+3))+SUMPRODUCT((Vinduer!$A$5:$A$300=$A24)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4" s="19">
        <f>IF($A24="","",IF(COUNTIFS(Måned!$A$5:$A$2000,$A24,Måned!$C$5:$C$2000,MONTH(BC$5+3))=0,"",MAX(1,MIN(5,SUMIFS(Måned!$H$5:$H$2000,Måned!$A$5:$A$2000,$A24,Måned!$C$5:$C$2000,MONTH(BC$5+3))+SUMPRODUCT((Vinduer!$A$5:$A$300=$A24)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4" s="19">
        <f>IF($A24="","",IF(COUNTIFS(Måned!$A$5:$A$2000,$A24,Måned!$C$5:$C$2000,MONTH(BD$5+3))=0,"",MAX(1,MIN(5,SUMIFS(Måned!$H$5:$H$2000,Måned!$A$5:$A$2000,$A24,Måned!$C$5:$C$2000,MONTH(BD$5+3))+SUMPRODUCT((Vinduer!$A$5:$A$300=$A24)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4" s="19">
        <f>IF($A24="","",IF(COUNTIFS(Måned!$A$5:$A$2000,$A24,Måned!$C$5:$C$2000,MONTH(BE$5+3))=0,"",MAX(1,MIN(5,SUMIFS(Måned!$H$5:$H$2000,Måned!$A$5:$A$2000,$A24,Måned!$C$5:$C$2000,MONTH(BE$5+3))+SUMPRODUCT((Vinduer!$A$5:$A$300=$A24)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5">
      <c r="A25" s="5">
        <f>IF(Destinasjoner!A21="","",Destinasjoner!A21)</f>
        <v/>
      </c>
      <c r="B25" s="5">
        <f>IF(A25="","",Destinasjoner!E21)</f>
        <v/>
      </c>
      <c r="C25" s="5">
        <f>IF(A25="","",Destinasjoner!B21)</f>
        <v/>
      </c>
      <c r="D25" s="17">
        <f>IFERROR(SUMIFS(F25:BE25,$F$7:$BE$7,"x")/COUNTIFS($F$7:$BE$7,"x",F25:BE25,"&gt;0"),"")</f>
        <v/>
      </c>
      <c r="E25" s="18">
        <f>IF(D25="","",_xlfn.MINIFS(F25:BE25,$F$7:$BE$7,"x",F25:BE25,"&gt;0"))</f>
        <v/>
      </c>
      <c r="F25" s="19">
        <f>IF($A25="","",IF(COUNTIFS(Måned!$A$5:$A$2000,$A25,Måned!$C$5:$C$2000,MONTH(F$5+3))=0,"",MAX(1,MIN(5,SUMIFS(Måned!$H$5:$H$2000,Måned!$A$5:$A$2000,$A25,Måned!$C$5:$C$2000,MONTH(F$5+3))+SUMPRODUCT((Vinduer!$A$5:$A$300=$A25)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5" s="19">
        <f>IF($A25="","",IF(COUNTIFS(Måned!$A$5:$A$2000,$A25,Måned!$C$5:$C$2000,MONTH(G$5+3))=0,"",MAX(1,MIN(5,SUMIFS(Måned!$H$5:$H$2000,Måned!$A$5:$A$2000,$A25,Måned!$C$5:$C$2000,MONTH(G$5+3))+SUMPRODUCT((Vinduer!$A$5:$A$300=$A25)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5" s="19">
        <f>IF($A25="","",IF(COUNTIFS(Måned!$A$5:$A$2000,$A25,Måned!$C$5:$C$2000,MONTH(H$5+3))=0,"",MAX(1,MIN(5,SUMIFS(Måned!$H$5:$H$2000,Måned!$A$5:$A$2000,$A25,Måned!$C$5:$C$2000,MONTH(H$5+3))+SUMPRODUCT((Vinduer!$A$5:$A$300=$A25)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5" s="19">
        <f>IF($A25="","",IF(COUNTIFS(Måned!$A$5:$A$2000,$A25,Måned!$C$5:$C$2000,MONTH(I$5+3))=0,"",MAX(1,MIN(5,SUMIFS(Måned!$H$5:$H$2000,Måned!$A$5:$A$2000,$A25,Måned!$C$5:$C$2000,MONTH(I$5+3))+SUMPRODUCT((Vinduer!$A$5:$A$300=$A25)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5" s="19">
        <f>IF($A25="","",IF(COUNTIFS(Måned!$A$5:$A$2000,$A25,Måned!$C$5:$C$2000,MONTH(J$5+3))=0,"",MAX(1,MIN(5,SUMIFS(Måned!$H$5:$H$2000,Måned!$A$5:$A$2000,$A25,Måned!$C$5:$C$2000,MONTH(J$5+3))+SUMPRODUCT((Vinduer!$A$5:$A$300=$A25)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5" s="19">
        <f>IF($A25="","",IF(COUNTIFS(Måned!$A$5:$A$2000,$A25,Måned!$C$5:$C$2000,MONTH(K$5+3))=0,"",MAX(1,MIN(5,SUMIFS(Måned!$H$5:$H$2000,Måned!$A$5:$A$2000,$A25,Måned!$C$5:$C$2000,MONTH(K$5+3))+SUMPRODUCT((Vinduer!$A$5:$A$300=$A25)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5" s="19">
        <f>IF($A25="","",IF(COUNTIFS(Måned!$A$5:$A$2000,$A25,Måned!$C$5:$C$2000,MONTH(L$5+3))=0,"",MAX(1,MIN(5,SUMIFS(Måned!$H$5:$H$2000,Måned!$A$5:$A$2000,$A25,Måned!$C$5:$C$2000,MONTH(L$5+3))+SUMPRODUCT((Vinduer!$A$5:$A$300=$A25)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5" s="19">
        <f>IF($A25="","",IF(COUNTIFS(Måned!$A$5:$A$2000,$A25,Måned!$C$5:$C$2000,MONTH(M$5+3))=0,"",MAX(1,MIN(5,SUMIFS(Måned!$H$5:$H$2000,Måned!$A$5:$A$2000,$A25,Måned!$C$5:$C$2000,MONTH(M$5+3))+SUMPRODUCT((Vinduer!$A$5:$A$300=$A25)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5" s="19">
        <f>IF($A25="","",IF(COUNTIFS(Måned!$A$5:$A$2000,$A25,Måned!$C$5:$C$2000,MONTH(N$5+3))=0,"",MAX(1,MIN(5,SUMIFS(Måned!$H$5:$H$2000,Måned!$A$5:$A$2000,$A25,Måned!$C$5:$C$2000,MONTH(N$5+3))+SUMPRODUCT((Vinduer!$A$5:$A$300=$A25)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5" s="19">
        <f>IF($A25="","",IF(COUNTIFS(Måned!$A$5:$A$2000,$A25,Måned!$C$5:$C$2000,MONTH(O$5+3))=0,"",MAX(1,MIN(5,SUMIFS(Måned!$H$5:$H$2000,Måned!$A$5:$A$2000,$A25,Måned!$C$5:$C$2000,MONTH(O$5+3))+SUMPRODUCT((Vinduer!$A$5:$A$300=$A25)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5" s="19">
        <f>IF($A25="","",IF(COUNTIFS(Måned!$A$5:$A$2000,$A25,Måned!$C$5:$C$2000,MONTH(P$5+3))=0,"",MAX(1,MIN(5,SUMIFS(Måned!$H$5:$H$2000,Måned!$A$5:$A$2000,$A25,Måned!$C$5:$C$2000,MONTH(P$5+3))+SUMPRODUCT((Vinduer!$A$5:$A$300=$A25)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5" s="19">
        <f>IF($A25="","",IF(COUNTIFS(Måned!$A$5:$A$2000,$A25,Måned!$C$5:$C$2000,MONTH(Q$5+3))=0,"",MAX(1,MIN(5,SUMIFS(Måned!$H$5:$H$2000,Måned!$A$5:$A$2000,$A25,Måned!$C$5:$C$2000,MONTH(Q$5+3))+SUMPRODUCT((Vinduer!$A$5:$A$300=$A25)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5" s="19">
        <f>IF($A25="","",IF(COUNTIFS(Måned!$A$5:$A$2000,$A25,Måned!$C$5:$C$2000,MONTH(R$5+3))=0,"",MAX(1,MIN(5,SUMIFS(Måned!$H$5:$H$2000,Måned!$A$5:$A$2000,$A25,Måned!$C$5:$C$2000,MONTH(R$5+3))+SUMPRODUCT((Vinduer!$A$5:$A$300=$A25)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5" s="19">
        <f>IF($A25="","",IF(COUNTIFS(Måned!$A$5:$A$2000,$A25,Måned!$C$5:$C$2000,MONTH(S$5+3))=0,"",MAX(1,MIN(5,SUMIFS(Måned!$H$5:$H$2000,Måned!$A$5:$A$2000,$A25,Måned!$C$5:$C$2000,MONTH(S$5+3))+SUMPRODUCT((Vinduer!$A$5:$A$300=$A25)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5" s="19">
        <f>IF($A25="","",IF(COUNTIFS(Måned!$A$5:$A$2000,$A25,Måned!$C$5:$C$2000,MONTH(T$5+3))=0,"",MAX(1,MIN(5,SUMIFS(Måned!$H$5:$H$2000,Måned!$A$5:$A$2000,$A25,Måned!$C$5:$C$2000,MONTH(T$5+3))+SUMPRODUCT((Vinduer!$A$5:$A$300=$A25)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5" s="19">
        <f>IF($A25="","",IF(COUNTIFS(Måned!$A$5:$A$2000,$A25,Måned!$C$5:$C$2000,MONTH(U$5+3))=0,"",MAX(1,MIN(5,SUMIFS(Måned!$H$5:$H$2000,Måned!$A$5:$A$2000,$A25,Måned!$C$5:$C$2000,MONTH(U$5+3))+SUMPRODUCT((Vinduer!$A$5:$A$300=$A25)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5" s="19">
        <f>IF($A25="","",IF(COUNTIFS(Måned!$A$5:$A$2000,$A25,Måned!$C$5:$C$2000,MONTH(V$5+3))=0,"",MAX(1,MIN(5,SUMIFS(Måned!$H$5:$H$2000,Måned!$A$5:$A$2000,$A25,Måned!$C$5:$C$2000,MONTH(V$5+3))+SUMPRODUCT((Vinduer!$A$5:$A$300=$A25)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5" s="19">
        <f>IF($A25="","",IF(COUNTIFS(Måned!$A$5:$A$2000,$A25,Måned!$C$5:$C$2000,MONTH(W$5+3))=0,"",MAX(1,MIN(5,SUMIFS(Måned!$H$5:$H$2000,Måned!$A$5:$A$2000,$A25,Måned!$C$5:$C$2000,MONTH(W$5+3))+SUMPRODUCT((Vinduer!$A$5:$A$300=$A25)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5" s="19">
        <f>IF($A25="","",IF(COUNTIFS(Måned!$A$5:$A$2000,$A25,Måned!$C$5:$C$2000,MONTH(X$5+3))=0,"",MAX(1,MIN(5,SUMIFS(Måned!$H$5:$H$2000,Måned!$A$5:$A$2000,$A25,Måned!$C$5:$C$2000,MONTH(X$5+3))+SUMPRODUCT((Vinduer!$A$5:$A$300=$A25)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5" s="19">
        <f>IF($A25="","",IF(COUNTIFS(Måned!$A$5:$A$2000,$A25,Måned!$C$5:$C$2000,MONTH(Y$5+3))=0,"",MAX(1,MIN(5,SUMIFS(Måned!$H$5:$H$2000,Måned!$A$5:$A$2000,$A25,Måned!$C$5:$C$2000,MONTH(Y$5+3))+SUMPRODUCT((Vinduer!$A$5:$A$300=$A25)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5" s="19">
        <f>IF($A25="","",IF(COUNTIFS(Måned!$A$5:$A$2000,$A25,Måned!$C$5:$C$2000,MONTH(Z$5+3))=0,"",MAX(1,MIN(5,SUMIFS(Måned!$H$5:$H$2000,Måned!$A$5:$A$2000,$A25,Måned!$C$5:$C$2000,MONTH(Z$5+3))+SUMPRODUCT((Vinduer!$A$5:$A$300=$A25)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5" s="19">
        <f>IF($A25="","",IF(COUNTIFS(Måned!$A$5:$A$2000,$A25,Måned!$C$5:$C$2000,MONTH(AA$5+3))=0,"",MAX(1,MIN(5,SUMIFS(Måned!$H$5:$H$2000,Måned!$A$5:$A$2000,$A25,Måned!$C$5:$C$2000,MONTH(AA$5+3))+SUMPRODUCT((Vinduer!$A$5:$A$300=$A25)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5" s="19">
        <f>IF($A25="","",IF(COUNTIFS(Måned!$A$5:$A$2000,$A25,Måned!$C$5:$C$2000,MONTH(AB$5+3))=0,"",MAX(1,MIN(5,SUMIFS(Måned!$H$5:$H$2000,Måned!$A$5:$A$2000,$A25,Måned!$C$5:$C$2000,MONTH(AB$5+3))+SUMPRODUCT((Vinduer!$A$5:$A$300=$A25)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5" s="19">
        <f>IF($A25="","",IF(COUNTIFS(Måned!$A$5:$A$2000,$A25,Måned!$C$5:$C$2000,MONTH(AC$5+3))=0,"",MAX(1,MIN(5,SUMIFS(Måned!$H$5:$H$2000,Måned!$A$5:$A$2000,$A25,Måned!$C$5:$C$2000,MONTH(AC$5+3))+SUMPRODUCT((Vinduer!$A$5:$A$300=$A25)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5" s="19">
        <f>IF($A25="","",IF(COUNTIFS(Måned!$A$5:$A$2000,$A25,Måned!$C$5:$C$2000,MONTH(AD$5+3))=0,"",MAX(1,MIN(5,SUMIFS(Måned!$H$5:$H$2000,Måned!$A$5:$A$2000,$A25,Måned!$C$5:$C$2000,MONTH(AD$5+3))+SUMPRODUCT((Vinduer!$A$5:$A$300=$A25)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5" s="19">
        <f>IF($A25="","",IF(COUNTIFS(Måned!$A$5:$A$2000,$A25,Måned!$C$5:$C$2000,MONTH(AE$5+3))=0,"",MAX(1,MIN(5,SUMIFS(Måned!$H$5:$H$2000,Måned!$A$5:$A$2000,$A25,Måned!$C$5:$C$2000,MONTH(AE$5+3))+SUMPRODUCT((Vinduer!$A$5:$A$300=$A25)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5" s="19">
        <f>IF($A25="","",IF(COUNTIFS(Måned!$A$5:$A$2000,$A25,Måned!$C$5:$C$2000,MONTH(AF$5+3))=0,"",MAX(1,MIN(5,SUMIFS(Måned!$H$5:$H$2000,Måned!$A$5:$A$2000,$A25,Måned!$C$5:$C$2000,MONTH(AF$5+3))+SUMPRODUCT((Vinduer!$A$5:$A$300=$A25)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5" s="19">
        <f>IF($A25="","",IF(COUNTIFS(Måned!$A$5:$A$2000,$A25,Måned!$C$5:$C$2000,MONTH(AG$5+3))=0,"",MAX(1,MIN(5,SUMIFS(Måned!$H$5:$H$2000,Måned!$A$5:$A$2000,$A25,Måned!$C$5:$C$2000,MONTH(AG$5+3))+SUMPRODUCT((Vinduer!$A$5:$A$300=$A25)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5" s="19">
        <f>IF($A25="","",IF(COUNTIFS(Måned!$A$5:$A$2000,$A25,Måned!$C$5:$C$2000,MONTH(AH$5+3))=0,"",MAX(1,MIN(5,SUMIFS(Måned!$H$5:$H$2000,Måned!$A$5:$A$2000,$A25,Måned!$C$5:$C$2000,MONTH(AH$5+3))+SUMPRODUCT((Vinduer!$A$5:$A$300=$A25)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5" s="19">
        <f>IF($A25="","",IF(COUNTIFS(Måned!$A$5:$A$2000,$A25,Måned!$C$5:$C$2000,MONTH(AI$5+3))=0,"",MAX(1,MIN(5,SUMIFS(Måned!$H$5:$H$2000,Måned!$A$5:$A$2000,$A25,Måned!$C$5:$C$2000,MONTH(AI$5+3))+SUMPRODUCT((Vinduer!$A$5:$A$300=$A25)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5" s="19">
        <f>IF($A25="","",IF(COUNTIFS(Måned!$A$5:$A$2000,$A25,Måned!$C$5:$C$2000,MONTH(AJ$5+3))=0,"",MAX(1,MIN(5,SUMIFS(Måned!$H$5:$H$2000,Måned!$A$5:$A$2000,$A25,Måned!$C$5:$C$2000,MONTH(AJ$5+3))+SUMPRODUCT((Vinduer!$A$5:$A$300=$A25)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5" s="19">
        <f>IF($A25="","",IF(COUNTIFS(Måned!$A$5:$A$2000,$A25,Måned!$C$5:$C$2000,MONTH(AK$5+3))=0,"",MAX(1,MIN(5,SUMIFS(Måned!$H$5:$H$2000,Måned!$A$5:$A$2000,$A25,Måned!$C$5:$C$2000,MONTH(AK$5+3))+SUMPRODUCT((Vinduer!$A$5:$A$300=$A25)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5" s="19">
        <f>IF($A25="","",IF(COUNTIFS(Måned!$A$5:$A$2000,$A25,Måned!$C$5:$C$2000,MONTH(AL$5+3))=0,"",MAX(1,MIN(5,SUMIFS(Måned!$H$5:$H$2000,Måned!$A$5:$A$2000,$A25,Måned!$C$5:$C$2000,MONTH(AL$5+3))+SUMPRODUCT((Vinduer!$A$5:$A$300=$A25)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5" s="19">
        <f>IF($A25="","",IF(COUNTIFS(Måned!$A$5:$A$2000,$A25,Måned!$C$5:$C$2000,MONTH(AM$5+3))=0,"",MAX(1,MIN(5,SUMIFS(Måned!$H$5:$H$2000,Måned!$A$5:$A$2000,$A25,Måned!$C$5:$C$2000,MONTH(AM$5+3))+SUMPRODUCT((Vinduer!$A$5:$A$300=$A25)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5" s="19">
        <f>IF($A25="","",IF(COUNTIFS(Måned!$A$5:$A$2000,$A25,Måned!$C$5:$C$2000,MONTH(AN$5+3))=0,"",MAX(1,MIN(5,SUMIFS(Måned!$H$5:$H$2000,Måned!$A$5:$A$2000,$A25,Måned!$C$5:$C$2000,MONTH(AN$5+3))+SUMPRODUCT((Vinduer!$A$5:$A$300=$A25)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5" s="19">
        <f>IF($A25="","",IF(COUNTIFS(Måned!$A$5:$A$2000,$A25,Måned!$C$5:$C$2000,MONTH(AO$5+3))=0,"",MAX(1,MIN(5,SUMIFS(Måned!$H$5:$H$2000,Måned!$A$5:$A$2000,$A25,Måned!$C$5:$C$2000,MONTH(AO$5+3))+SUMPRODUCT((Vinduer!$A$5:$A$300=$A25)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5" s="19">
        <f>IF($A25="","",IF(COUNTIFS(Måned!$A$5:$A$2000,$A25,Måned!$C$5:$C$2000,MONTH(AP$5+3))=0,"",MAX(1,MIN(5,SUMIFS(Måned!$H$5:$H$2000,Måned!$A$5:$A$2000,$A25,Måned!$C$5:$C$2000,MONTH(AP$5+3))+SUMPRODUCT((Vinduer!$A$5:$A$300=$A25)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5" s="19">
        <f>IF($A25="","",IF(COUNTIFS(Måned!$A$5:$A$2000,$A25,Måned!$C$5:$C$2000,MONTH(AQ$5+3))=0,"",MAX(1,MIN(5,SUMIFS(Måned!$H$5:$H$2000,Måned!$A$5:$A$2000,$A25,Måned!$C$5:$C$2000,MONTH(AQ$5+3))+SUMPRODUCT((Vinduer!$A$5:$A$300=$A25)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5" s="19">
        <f>IF($A25="","",IF(COUNTIFS(Måned!$A$5:$A$2000,$A25,Måned!$C$5:$C$2000,MONTH(AR$5+3))=0,"",MAX(1,MIN(5,SUMIFS(Måned!$H$5:$H$2000,Måned!$A$5:$A$2000,$A25,Måned!$C$5:$C$2000,MONTH(AR$5+3))+SUMPRODUCT((Vinduer!$A$5:$A$300=$A25)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5" s="19">
        <f>IF($A25="","",IF(COUNTIFS(Måned!$A$5:$A$2000,$A25,Måned!$C$5:$C$2000,MONTH(AS$5+3))=0,"",MAX(1,MIN(5,SUMIFS(Måned!$H$5:$H$2000,Måned!$A$5:$A$2000,$A25,Måned!$C$5:$C$2000,MONTH(AS$5+3))+SUMPRODUCT((Vinduer!$A$5:$A$300=$A25)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5" s="19">
        <f>IF($A25="","",IF(COUNTIFS(Måned!$A$5:$A$2000,$A25,Måned!$C$5:$C$2000,MONTH(AT$5+3))=0,"",MAX(1,MIN(5,SUMIFS(Måned!$H$5:$H$2000,Måned!$A$5:$A$2000,$A25,Måned!$C$5:$C$2000,MONTH(AT$5+3))+SUMPRODUCT((Vinduer!$A$5:$A$300=$A25)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5" s="19">
        <f>IF($A25="","",IF(COUNTIFS(Måned!$A$5:$A$2000,$A25,Måned!$C$5:$C$2000,MONTH(AU$5+3))=0,"",MAX(1,MIN(5,SUMIFS(Måned!$H$5:$H$2000,Måned!$A$5:$A$2000,$A25,Måned!$C$5:$C$2000,MONTH(AU$5+3))+SUMPRODUCT((Vinduer!$A$5:$A$300=$A25)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5" s="19">
        <f>IF($A25="","",IF(COUNTIFS(Måned!$A$5:$A$2000,$A25,Måned!$C$5:$C$2000,MONTH(AV$5+3))=0,"",MAX(1,MIN(5,SUMIFS(Måned!$H$5:$H$2000,Måned!$A$5:$A$2000,$A25,Måned!$C$5:$C$2000,MONTH(AV$5+3))+SUMPRODUCT((Vinduer!$A$5:$A$300=$A25)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5" s="19">
        <f>IF($A25="","",IF(COUNTIFS(Måned!$A$5:$A$2000,$A25,Måned!$C$5:$C$2000,MONTH(AW$5+3))=0,"",MAX(1,MIN(5,SUMIFS(Måned!$H$5:$H$2000,Måned!$A$5:$A$2000,$A25,Måned!$C$5:$C$2000,MONTH(AW$5+3))+SUMPRODUCT((Vinduer!$A$5:$A$300=$A25)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5" s="19">
        <f>IF($A25="","",IF(COUNTIFS(Måned!$A$5:$A$2000,$A25,Måned!$C$5:$C$2000,MONTH(AX$5+3))=0,"",MAX(1,MIN(5,SUMIFS(Måned!$H$5:$H$2000,Måned!$A$5:$A$2000,$A25,Måned!$C$5:$C$2000,MONTH(AX$5+3))+SUMPRODUCT((Vinduer!$A$5:$A$300=$A25)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5" s="19">
        <f>IF($A25="","",IF(COUNTIFS(Måned!$A$5:$A$2000,$A25,Måned!$C$5:$C$2000,MONTH(AY$5+3))=0,"",MAX(1,MIN(5,SUMIFS(Måned!$H$5:$H$2000,Måned!$A$5:$A$2000,$A25,Måned!$C$5:$C$2000,MONTH(AY$5+3))+SUMPRODUCT((Vinduer!$A$5:$A$300=$A25)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5" s="19">
        <f>IF($A25="","",IF(COUNTIFS(Måned!$A$5:$A$2000,$A25,Måned!$C$5:$C$2000,MONTH(AZ$5+3))=0,"",MAX(1,MIN(5,SUMIFS(Måned!$H$5:$H$2000,Måned!$A$5:$A$2000,$A25,Måned!$C$5:$C$2000,MONTH(AZ$5+3))+SUMPRODUCT((Vinduer!$A$5:$A$300=$A25)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5" s="19">
        <f>IF($A25="","",IF(COUNTIFS(Måned!$A$5:$A$2000,$A25,Måned!$C$5:$C$2000,MONTH(BA$5+3))=0,"",MAX(1,MIN(5,SUMIFS(Måned!$H$5:$H$2000,Måned!$A$5:$A$2000,$A25,Måned!$C$5:$C$2000,MONTH(BA$5+3))+SUMPRODUCT((Vinduer!$A$5:$A$300=$A25)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5" s="19">
        <f>IF($A25="","",IF(COUNTIFS(Måned!$A$5:$A$2000,$A25,Måned!$C$5:$C$2000,MONTH(BB$5+3))=0,"",MAX(1,MIN(5,SUMIFS(Måned!$H$5:$H$2000,Måned!$A$5:$A$2000,$A25,Måned!$C$5:$C$2000,MONTH(BB$5+3))+SUMPRODUCT((Vinduer!$A$5:$A$300=$A25)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5" s="19">
        <f>IF($A25="","",IF(COUNTIFS(Måned!$A$5:$A$2000,$A25,Måned!$C$5:$C$2000,MONTH(BC$5+3))=0,"",MAX(1,MIN(5,SUMIFS(Måned!$H$5:$H$2000,Måned!$A$5:$A$2000,$A25,Måned!$C$5:$C$2000,MONTH(BC$5+3))+SUMPRODUCT((Vinduer!$A$5:$A$300=$A25)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5" s="19">
        <f>IF($A25="","",IF(COUNTIFS(Måned!$A$5:$A$2000,$A25,Måned!$C$5:$C$2000,MONTH(BD$5+3))=0,"",MAX(1,MIN(5,SUMIFS(Måned!$H$5:$H$2000,Måned!$A$5:$A$2000,$A25,Måned!$C$5:$C$2000,MONTH(BD$5+3))+SUMPRODUCT((Vinduer!$A$5:$A$300=$A25)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5" s="19">
        <f>IF($A25="","",IF(COUNTIFS(Måned!$A$5:$A$2000,$A25,Måned!$C$5:$C$2000,MONTH(BE$5+3))=0,"",MAX(1,MIN(5,SUMIFS(Måned!$H$5:$H$2000,Måned!$A$5:$A$2000,$A25,Måned!$C$5:$C$2000,MONTH(BE$5+3))+SUMPRODUCT((Vinduer!$A$5:$A$300=$A25)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6">
      <c r="A26" s="5">
        <f>IF(Destinasjoner!A22="","",Destinasjoner!A22)</f>
        <v/>
      </c>
      <c r="B26" s="5">
        <f>IF(A26="","",Destinasjoner!E22)</f>
        <v/>
      </c>
      <c r="C26" s="5">
        <f>IF(A26="","",Destinasjoner!B22)</f>
        <v/>
      </c>
      <c r="D26" s="17">
        <f>IFERROR(SUMIFS(F26:BE26,$F$7:$BE$7,"x")/COUNTIFS($F$7:$BE$7,"x",F26:BE26,"&gt;0"),"")</f>
        <v/>
      </c>
      <c r="E26" s="18">
        <f>IF(D26="","",_xlfn.MINIFS(F26:BE26,$F$7:$BE$7,"x",F26:BE26,"&gt;0"))</f>
        <v/>
      </c>
      <c r="F26" s="19">
        <f>IF($A26="","",IF(COUNTIFS(Måned!$A$5:$A$2000,$A26,Måned!$C$5:$C$2000,MONTH(F$5+3))=0,"",MAX(1,MIN(5,SUMIFS(Måned!$H$5:$H$2000,Måned!$A$5:$A$2000,$A26,Måned!$C$5:$C$2000,MONTH(F$5+3))+SUMPRODUCT((Vinduer!$A$5:$A$300=$A26)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6" s="19">
        <f>IF($A26="","",IF(COUNTIFS(Måned!$A$5:$A$2000,$A26,Måned!$C$5:$C$2000,MONTH(G$5+3))=0,"",MAX(1,MIN(5,SUMIFS(Måned!$H$5:$H$2000,Måned!$A$5:$A$2000,$A26,Måned!$C$5:$C$2000,MONTH(G$5+3))+SUMPRODUCT((Vinduer!$A$5:$A$300=$A26)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6" s="19">
        <f>IF($A26="","",IF(COUNTIFS(Måned!$A$5:$A$2000,$A26,Måned!$C$5:$C$2000,MONTH(H$5+3))=0,"",MAX(1,MIN(5,SUMIFS(Måned!$H$5:$H$2000,Måned!$A$5:$A$2000,$A26,Måned!$C$5:$C$2000,MONTH(H$5+3))+SUMPRODUCT((Vinduer!$A$5:$A$300=$A26)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6" s="19">
        <f>IF($A26="","",IF(COUNTIFS(Måned!$A$5:$A$2000,$A26,Måned!$C$5:$C$2000,MONTH(I$5+3))=0,"",MAX(1,MIN(5,SUMIFS(Måned!$H$5:$H$2000,Måned!$A$5:$A$2000,$A26,Måned!$C$5:$C$2000,MONTH(I$5+3))+SUMPRODUCT((Vinduer!$A$5:$A$300=$A26)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6" s="19">
        <f>IF($A26="","",IF(COUNTIFS(Måned!$A$5:$A$2000,$A26,Måned!$C$5:$C$2000,MONTH(J$5+3))=0,"",MAX(1,MIN(5,SUMIFS(Måned!$H$5:$H$2000,Måned!$A$5:$A$2000,$A26,Måned!$C$5:$C$2000,MONTH(J$5+3))+SUMPRODUCT((Vinduer!$A$5:$A$300=$A26)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6" s="19">
        <f>IF($A26="","",IF(COUNTIFS(Måned!$A$5:$A$2000,$A26,Måned!$C$5:$C$2000,MONTH(K$5+3))=0,"",MAX(1,MIN(5,SUMIFS(Måned!$H$5:$H$2000,Måned!$A$5:$A$2000,$A26,Måned!$C$5:$C$2000,MONTH(K$5+3))+SUMPRODUCT((Vinduer!$A$5:$A$300=$A26)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6" s="19">
        <f>IF($A26="","",IF(COUNTIFS(Måned!$A$5:$A$2000,$A26,Måned!$C$5:$C$2000,MONTH(L$5+3))=0,"",MAX(1,MIN(5,SUMIFS(Måned!$H$5:$H$2000,Måned!$A$5:$A$2000,$A26,Måned!$C$5:$C$2000,MONTH(L$5+3))+SUMPRODUCT((Vinduer!$A$5:$A$300=$A26)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6" s="19">
        <f>IF($A26="","",IF(COUNTIFS(Måned!$A$5:$A$2000,$A26,Måned!$C$5:$C$2000,MONTH(M$5+3))=0,"",MAX(1,MIN(5,SUMIFS(Måned!$H$5:$H$2000,Måned!$A$5:$A$2000,$A26,Måned!$C$5:$C$2000,MONTH(M$5+3))+SUMPRODUCT((Vinduer!$A$5:$A$300=$A26)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6" s="19">
        <f>IF($A26="","",IF(COUNTIFS(Måned!$A$5:$A$2000,$A26,Måned!$C$5:$C$2000,MONTH(N$5+3))=0,"",MAX(1,MIN(5,SUMIFS(Måned!$H$5:$H$2000,Måned!$A$5:$A$2000,$A26,Måned!$C$5:$C$2000,MONTH(N$5+3))+SUMPRODUCT((Vinduer!$A$5:$A$300=$A26)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6" s="19">
        <f>IF($A26="","",IF(COUNTIFS(Måned!$A$5:$A$2000,$A26,Måned!$C$5:$C$2000,MONTH(O$5+3))=0,"",MAX(1,MIN(5,SUMIFS(Måned!$H$5:$H$2000,Måned!$A$5:$A$2000,$A26,Måned!$C$5:$C$2000,MONTH(O$5+3))+SUMPRODUCT((Vinduer!$A$5:$A$300=$A26)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6" s="19">
        <f>IF($A26="","",IF(COUNTIFS(Måned!$A$5:$A$2000,$A26,Måned!$C$5:$C$2000,MONTH(P$5+3))=0,"",MAX(1,MIN(5,SUMIFS(Måned!$H$5:$H$2000,Måned!$A$5:$A$2000,$A26,Måned!$C$5:$C$2000,MONTH(P$5+3))+SUMPRODUCT((Vinduer!$A$5:$A$300=$A26)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6" s="19">
        <f>IF($A26="","",IF(COUNTIFS(Måned!$A$5:$A$2000,$A26,Måned!$C$5:$C$2000,MONTH(Q$5+3))=0,"",MAX(1,MIN(5,SUMIFS(Måned!$H$5:$H$2000,Måned!$A$5:$A$2000,$A26,Måned!$C$5:$C$2000,MONTH(Q$5+3))+SUMPRODUCT((Vinduer!$A$5:$A$300=$A26)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6" s="19">
        <f>IF($A26="","",IF(COUNTIFS(Måned!$A$5:$A$2000,$A26,Måned!$C$5:$C$2000,MONTH(R$5+3))=0,"",MAX(1,MIN(5,SUMIFS(Måned!$H$5:$H$2000,Måned!$A$5:$A$2000,$A26,Måned!$C$5:$C$2000,MONTH(R$5+3))+SUMPRODUCT((Vinduer!$A$5:$A$300=$A26)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6" s="19">
        <f>IF($A26="","",IF(COUNTIFS(Måned!$A$5:$A$2000,$A26,Måned!$C$5:$C$2000,MONTH(S$5+3))=0,"",MAX(1,MIN(5,SUMIFS(Måned!$H$5:$H$2000,Måned!$A$5:$A$2000,$A26,Måned!$C$5:$C$2000,MONTH(S$5+3))+SUMPRODUCT((Vinduer!$A$5:$A$300=$A26)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6" s="19">
        <f>IF($A26="","",IF(COUNTIFS(Måned!$A$5:$A$2000,$A26,Måned!$C$5:$C$2000,MONTH(T$5+3))=0,"",MAX(1,MIN(5,SUMIFS(Måned!$H$5:$H$2000,Måned!$A$5:$A$2000,$A26,Måned!$C$5:$C$2000,MONTH(T$5+3))+SUMPRODUCT((Vinduer!$A$5:$A$300=$A26)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6" s="19">
        <f>IF($A26="","",IF(COUNTIFS(Måned!$A$5:$A$2000,$A26,Måned!$C$5:$C$2000,MONTH(U$5+3))=0,"",MAX(1,MIN(5,SUMIFS(Måned!$H$5:$H$2000,Måned!$A$5:$A$2000,$A26,Måned!$C$5:$C$2000,MONTH(U$5+3))+SUMPRODUCT((Vinduer!$A$5:$A$300=$A26)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6" s="19">
        <f>IF($A26="","",IF(COUNTIFS(Måned!$A$5:$A$2000,$A26,Måned!$C$5:$C$2000,MONTH(V$5+3))=0,"",MAX(1,MIN(5,SUMIFS(Måned!$H$5:$H$2000,Måned!$A$5:$A$2000,$A26,Måned!$C$5:$C$2000,MONTH(V$5+3))+SUMPRODUCT((Vinduer!$A$5:$A$300=$A26)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6" s="19">
        <f>IF($A26="","",IF(COUNTIFS(Måned!$A$5:$A$2000,$A26,Måned!$C$5:$C$2000,MONTH(W$5+3))=0,"",MAX(1,MIN(5,SUMIFS(Måned!$H$5:$H$2000,Måned!$A$5:$A$2000,$A26,Måned!$C$5:$C$2000,MONTH(W$5+3))+SUMPRODUCT((Vinduer!$A$5:$A$300=$A26)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6" s="19">
        <f>IF($A26="","",IF(COUNTIFS(Måned!$A$5:$A$2000,$A26,Måned!$C$5:$C$2000,MONTH(X$5+3))=0,"",MAX(1,MIN(5,SUMIFS(Måned!$H$5:$H$2000,Måned!$A$5:$A$2000,$A26,Måned!$C$5:$C$2000,MONTH(X$5+3))+SUMPRODUCT((Vinduer!$A$5:$A$300=$A26)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6" s="19">
        <f>IF($A26="","",IF(COUNTIFS(Måned!$A$5:$A$2000,$A26,Måned!$C$5:$C$2000,MONTH(Y$5+3))=0,"",MAX(1,MIN(5,SUMIFS(Måned!$H$5:$H$2000,Måned!$A$5:$A$2000,$A26,Måned!$C$5:$C$2000,MONTH(Y$5+3))+SUMPRODUCT((Vinduer!$A$5:$A$300=$A26)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6" s="19">
        <f>IF($A26="","",IF(COUNTIFS(Måned!$A$5:$A$2000,$A26,Måned!$C$5:$C$2000,MONTH(Z$5+3))=0,"",MAX(1,MIN(5,SUMIFS(Måned!$H$5:$H$2000,Måned!$A$5:$A$2000,$A26,Måned!$C$5:$C$2000,MONTH(Z$5+3))+SUMPRODUCT((Vinduer!$A$5:$A$300=$A26)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6" s="19">
        <f>IF($A26="","",IF(COUNTIFS(Måned!$A$5:$A$2000,$A26,Måned!$C$5:$C$2000,MONTH(AA$5+3))=0,"",MAX(1,MIN(5,SUMIFS(Måned!$H$5:$H$2000,Måned!$A$5:$A$2000,$A26,Måned!$C$5:$C$2000,MONTH(AA$5+3))+SUMPRODUCT((Vinduer!$A$5:$A$300=$A26)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6" s="19">
        <f>IF($A26="","",IF(COUNTIFS(Måned!$A$5:$A$2000,$A26,Måned!$C$5:$C$2000,MONTH(AB$5+3))=0,"",MAX(1,MIN(5,SUMIFS(Måned!$H$5:$H$2000,Måned!$A$5:$A$2000,$A26,Måned!$C$5:$C$2000,MONTH(AB$5+3))+SUMPRODUCT((Vinduer!$A$5:$A$300=$A26)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6" s="19">
        <f>IF($A26="","",IF(COUNTIFS(Måned!$A$5:$A$2000,$A26,Måned!$C$5:$C$2000,MONTH(AC$5+3))=0,"",MAX(1,MIN(5,SUMIFS(Måned!$H$5:$H$2000,Måned!$A$5:$A$2000,$A26,Måned!$C$5:$C$2000,MONTH(AC$5+3))+SUMPRODUCT((Vinduer!$A$5:$A$300=$A26)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6" s="19">
        <f>IF($A26="","",IF(COUNTIFS(Måned!$A$5:$A$2000,$A26,Måned!$C$5:$C$2000,MONTH(AD$5+3))=0,"",MAX(1,MIN(5,SUMIFS(Måned!$H$5:$H$2000,Måned!$A$5:$A$2000,$A26,Måned!$C$5:$C$2000,MONTH(AD$5+3))+SUMPRODUCT((Vinduer!$A$5:$A$300=$A26)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6" s="19">
        <f>IF($A26="","",IF(COUNTIFS(Måned!$A$5:$A$2000,$A26,Måned!$C$5:$C$2000,MONTH(AE$5+3))=0,"",MAX(1,MIN(5,SUMIFS(Måned!$H$5:$H$2000,Måned!$A$5:$A$2000,$A26,Måned!$C$5:$C$2000,MONTH(AE$5+3))+SUMPRODUCT((Vinduer!$A$5:$A$300=$A26)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6" s="19">
        <f>IF($A26="","",IF(COUNTIFS(Måned!$A$5:$A$2000,$A26,Måned!$C$5:$C$2000,MONTH(AF$5+3))=0,"",MAX(1,MIN(5,SUMIFS(Måned!$H$5:$H$2000,Måned!$A$5:$A$2000,$A26,Måned!$C$5:$C$2000,MONTH(AF$5+3))+SUMPRODUCT((Vinduer!$A$5:$A$300=$A26)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6" s="19">
        <f>IF($A26="","",IF(COUNTIFS(Måned!$A$5:$A$2000,$A26,Måned!$C$5:$C$2000,MONTH(AG$5+3))=0,"",MAX(1,MIN(5,SUMIFS(Måned!$H$5:$H$2000,Måned!$A$5:$A$2000,$A26,Måned!$C$5:$C$2000,MONTH(AG$5+3))+SUMPRODUCT((Vinduer!$A$5:$A$300=$A26)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6" s="19">
        <f>IF($A26="","",IF(COUNTIFS(Måned!$A$5:$A$2000,$A26,Måned!$C$5:$C$2000,MONTH(AH$5+3))=0,"",MAX(1,MIN(5,SUMIFS(Måned!$H$5:$H$2000,Måned!$A$5:$A$2000,$A26,Måned!$C$5:$C$2000,MONTH(AH$5+3))+SUMPRODUCT((Vinduer!$A$5:$A$300=$A26)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6" s="19">
        <f>IF($A26="","",IF(COUNTIFS(Måned!$A$5:$A$2000,$A26,Måned!$C$5:$C$2000,MONTH(AI$5+3))=0,"",MAX(1,MIN(5,SUMIFS(Måned!$H$5:$H$2000,Måned!$A$5:$A$2000,$A26,Måned!$C$5:$C$2000,MONTH(AI$5+3))+SUMPRODUCT((Vinduer!$A$5:$A$300=$A26)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6" s="19">
        <f>IF($A26="","",IF(COUNTIFS(Måned!$A$5:$A$2000,$A26,Måned!$C$5:$C$2000,MONTH(AJ$5+3))=0,"",MAX(1,MIN(5,SUMIFS(Måned!$H$5:$H$2000,Måned!$A$5:$A$2000,$A26,Måned!$C$5:$C$2000,MONTH(AJ$5+3))+SUMPRODUCT((Vinduer!$A$5:$A$300=$A26)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6" s="19">
        <f>IF($A26="","",IF(COUNTIFS(Måned!$A$5:$A$2000,$A26,Måned!$C$5:$C$2000,MONTH(AK$5+3))=0,"",MAX(1,MIN(5,SUMIFS(Måned!$H$5:$H$2000,Måned!$A$5:$A$2000,$A26,Måned!$C$5:$C$2000,MONTH(AK$5+3))+SUMPRODUCT((Vinduer!$A$5:$A$300=$A26)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6" s="19">
        <f>IF($A26="","",IF(COUNTIFS(Måned!$A$5:$A$2000,$A26,Måned!$C$5:$C$2000,MONTH(AL$5+3))=0,"",MAX(1,MIN(5,SUMIFS(Måned!$H$5:$H$2000,Måned!$A$5:$A$2000,$A26,Måned!$C$5:$C$2000,MONTH(AL$5+3))+SUMPRODUCT((Vinduer!$A$5:$A$300=$A26)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6" s="19">
        <f>IF($A26="","",IF(COUNTIFS(Måned!$A$5:$A$2000,$A26,Måned!$C$5:$C$2000,MONTH(AM$5+3))=0,"",MAX(1,MIN(5,SUMIFS(Måned!$H$5:$H$2000,Måned!$A$5:$A$2000,$A26,Måned!$C$5:$C$2000,MONTH(AM$5+3))+SUMPRODUCT((Vinduer!$A$5:$A$300=$A26)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6" s="19">
        <f>IF($A26="","",IF(COUNTIFS(Måned!$A$5:$A$2000,$A26,Måned!$C$5:$C$2000,MONTH(AN$5+3))=0,"",MAX(1,MIN(5,SUMIFS(Måned!$H$5:$H$2000,Måned!$A$5:$A$2000,$A26,Måned!$C$5:$C$2000,MONTH(AN$5+3))+SUMPRODUCT((Vinduer!$A$5:$A$300=$A26)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6" s="19">
        <f>IF($A26="","",IF(COUNTIFS(Måned!$A$5:$A$2000,$A26,Måned!$C$5:$C$2000,MONTH(AO$5+3))=0,"",MAX(1,MIN(5,SUMIFS(Måned!$H$5:$H$2000,Måned!$A$5:$A$2000,$A26,Måned!$C$5:$C$2000,MONTH(AO$5+3))+SUMPRODUCT((Vinduer!$A$5:$A$300=$A26)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6" s="19">
        <f>IF($A26="","",IF(COUNTIFS(Måned!$A$5:$A$2000,$A26,Måned!$C$5:$C$2000,MONTH(AP$5+3))=0,"",MAX(1,MIN(5,SUMIFS(Måned!$H$5:$H$2000,Måned!$A$5:$A$2000,$A26,Måned!$C$5:$C$2000,MONTH(AP$5+3))+SUMPRODUCT((Vinduer!$A$5:$A$300=$A26)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6" s="19">
        <f>IF($A26="","",IF(COUNTIFS(Måned!$A$5:$A$2000,$A26,Måned!$C$5:$C$2000,MONTH(AQ$5+3))=0,"",MAX(1,MIN(5,SUMIFS(Måned!$H$5:$H$2000,Måned!$A$5:$A$2000,$A26,Måned!$C$5:$C$2000,MONTH(AQ$5+3))+SUMPRODUCT((Vinduer!$A$5:$A$300=$A26)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6" s="19">
        <f>IF($A26="","",IF(COUNTIFS(Måned!$A$5:$A$2000,$A26,Måned!$C$5:$C$2000,MONTH(AR$5+3))=0,"",MAX(1,MIN(5,SUMIFS(Måned!$H$5:$H$2000,Måned!$A$5:$A$2000,$A26,Måned!$C$5:$C$2000,MONTH(AR$5+3))+SUMPRODUCT((Vinduer!$A$5:$A$300=$A26)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6" s="19">
        <f>IF($A26="","",IF(COUNTIFS(Måned!$A$5:$A$2000,$A26,Måned!$C$5:$C$2000,MONTH(AS$5+3))=0,"",MAX(1,MIN(5,SUMIFS(Måned!$H$5:$H$2000,Måned!$A$5:$A$2000,$A26,Måned!$C$5:$C$2000,MONTH(AS$5+3))+SUMPRODUCT((Vinduer!$A$5:$A$300=$A26)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6" s="19">
        <f>IF($A26="","",IF(COUNTIFS(Måned!$A$5:$A$2000,$A26,Måned!$C$5:$C$2000,MONTH(AT$5+3))=0,"",MAX(1,MIN(5,SUMIFS(Måned!$H$5:$H$2000,Måned!$A$5:$A$2000,$A26,Måned!$C$5:$C$2000,MONTH(AT$5+3))+SUMPRODUCT((Vinduer!$A$5:$A$300=$A26)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6" s="19">
        <f>IF($A26="","",IF(COUNTIFS(Måned!$A$5:$A$2000,$A26,Måned!$C$5:$C$2000,MONTH(AU$5+3))=0,"",MAX(1,MIN(5,SUMIFS(Måned!$H$5:$H$2000,Måned!$A$5:$A$2000,$A26,Måned!$C$5:$C$2000,MONTH(AU$5+3))+SUMPRODUCT((Vinduer!$A$5:$A$300=$A26)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6" s="19">
        <f>IF($A26="","",IF(COUNTIFS(Måned!$A$5:$A$2000,$A26,Måned!$C$5:$C$2000,MONTH(AV$5+3))=0,"",MAX(1,MIN(5,SUMIFS(Måned!$H$5:$H$2000,Måned!$A$5:$A$2000,$A26,Måned!$C$5:$C$2000,MONTH(AV$5+3))+SUMPRODUCT((Vinduer!$A$5:$A$300=$A26)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6" s="19">
        <f>IF($A26="","",IF(COUNTIFS(Måned!$A$5:$A$2000,$A26,Måned!$C$5:$C$2000,MONTH(AW$5+3))=0,"",MAX(1,MIN(5,SUMIFS(Måned!$H$5:$H$2000,Måned!$A$5:$A$2000,$A26,Måned!$C$5:$C$2000,MONTH(AW$5+3))+SUMPRODUCT((Vinduer!$A$5:$A$300=$A26)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6" s="19">
        <f>IF($A26="","",IF(COUNTIFS(Måned!$A$5:$A$2000,$A26,Måned!$C$5:$C$2000,MONTH(AX$5+3))=0,"",MAX(1,MIN(5,SUMIFS(Måned!$H$5:$H$2000,Måned!$A$5:$A$2000,$A26,Måned!$C$5:$C$2000,MONTH(AX$5+3))+SUMPRODUCT((Vinduer!$A$5:$A$300=$A26)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6" s="19">
        <f>IF($A26="","",IF(COUNTIFS(Måned!$A$5:$A$2000,$A26,Måned!$C$5:$C$2000,MONTH(AY$5+3))=0,"",MAX(1,MIN(5,SUMIFS(Måned!$H$5:$H$2000,Måned!$A$5:$A$2000,$A26,Måned!$C$5:$C$2000,MONTH(AY$5+3))+SUMPRODUCT((Vinduer!$A$5:$A$300=$A26)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6" s="19">
        <f>IF($A26="","",IF(COUNTIFS(Måned!$A$5:$A$2000,$A26,Måned!$C$5:$C$2000,MONTH(AZ$5+3))=0,"",MAX(1,MIN(5,SUMIFS(Måned!$H$5:$H$2000,Måned!$A$5:$A$2000,$A26,Måned!$C$5:$C$2000,MONTH(AZ$5+3))+SUMPRODUCT((Vinduer!$A$5:$A$300=$A26)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6" s="19">
        <f>IF($A26="","",IF(COUNTIFS(Måned!$A$5:$A$2000,$A26,Måned!$C$5:$C$2000,MONTH(BA$5+3))=0,"",MAX(1,MIN(5,SUMIFS(Måned!$H$5:$H$2000,Måned!$A$5:$A$2000,$A26,Måned!$C$5:$C$2000,MONTH(BA$5+3))+SUMPRODUCT((Vinduer!$A$5:$A$300=$A26)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6" s="19">
        <f>IF($A26="","",IF(COUNTIFS(Måned!$A$5:$A$2000,$A26,Måned!$C$5:$C$2000,MONTH(BB$5+3))=0,"",MAX(1,MIN(5,SUMIFS(Måned!$H$5:$H$2000,Måned!$A$5:$A$2000,$A26,Måned!$C$5:$C$2000,MONTH(BB$5+3))+SUMPRODUCT((Vinduer!$A$5:$A$300=$A26)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6" s="19">
        <f>IF($A26="","",IF(COUNTIFS(Måned!$A$5:$A$2000,$A26,Måned!$C$5:$C$2000,MONTH(BC$5+3))=0,"",MAX(1,MIN(5,SUMIFS(Måned!$H$5:$H$2000,Måned!$A$5:$A$2000,$A26,Måned!$C$5:$C$2000,MONTH(BC$5+3))+SUMPRODUCT((Vinduer!$A$5:$A$300=$A26)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6" s="19">
        <f>IF($A26="","",IF(COUNTIFS(Måned!$A$5:$A$2000,$A26,Måned!$C$5:$C$2000,MONTH(BD$5+3))=0,"",MAX(1,MIN(5,SUMIFS(Måned!$H$5:$H$2000,Måned!$A$5:$A$2000,$A26,Måned!$C$5:$C$2000,MONTH(BD$5+3))+SUMPRODUCT((Vinduer!$A$5:$A$300=$A26)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6" s="19">
        <f>IF($A26="","",IF(COUNTIFS(Måned!$A$5:$A$2000,$A26,Måned!$C$5:$C$2000,MONTH(BE$5+3))=0,"",MAX(1,MIN(5,SUMIFS(Måned!$H$5:$H$2000,Måned!$A$5:$A$2000,$A26,Måned!$C$5:$C$2000,MONTH(BE$5+3))+SUMPRODUCT((Vinduer!$A$5:$A$300=$A26)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7">
      <c r="A27" s="5">
        <f>IF(Destinasjoner!A23="","",Destinasjoner!A23)</f>
        <v/>
      </c>
      <c r="B27" s="5">
        <f>IF(A27="","",Destinasjoner!E23)</f>
        <v/>
      </c>
      <c r="C27" s="5">
        <f>IF(A27="","",Destinasjoner!B23)</f>
        <v/>
      </c>
      <c r="D27" s="17">
        <f>IFERROR(SUMIFS(F27:BE27,$F$7:$BE$7,"x")/COUNTIFS($F$7:$BE$7,"x",F27:BE27,"&gt;0"),"")</f>
        <v/>
      </c>
      <c r="E27" s="18">
        <f>IF(D27="","",_xlfn.MINIFS(F27:BE27,$F$7:$BE$7,"x",F27:BE27,"&gt;0"))</f>
        <v/>
      </c>
      <c r="F27" s="19">
        <f>IF($A27="","",IF(COUNTIFS(Måned!$A$5:$A$2000,$A27,Måned!$C$5:$C$2000,MONTH(F$5+3))=0,"",MAX(1,MIN(5,SUMIFS(Måned!$H$5:$H$2000,Måned!$A$5:$A$2000,$A27,Måned!$C$5:$C$2000,MONTH(F$5+3))+SUMPRODUCT((Vinduer!$A$5:$A$300=$A27)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7" s="19">
        <f>IF($A27="","",IF(COUNTIFS(Måned!$A$5:$A$2000,$A27,Måned!$C$5:$C$2000,MONTH(G$5+3))=0,"",MAX(1,MIN(5,SUMIFS(Måned!$H$5:$H$2000,Måned!$A$5:$A$2000,$A27,Måned!$C$5:$C$2000,MONTH(G$5+3))+SUMPRODUCT((Vinduer!$A$5:$A$300=$A27)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7" s="19">
        <f>IF($A27="","",IF(COUNTIFS(Måned!$A$5:$A$2000,$A27,Måned!$C$5:$C$2000,MONTH(H$5+3))=0,"",MAX(1,MIN(5,SUMIFS(Måned!$H$5:$H$2000,Måned!$A$5:$A$2000,$A27,Måned!$C$5:$C$2000,MONTH(H$5+3))+SUMPRODUCT((Vinduer!$A$5:$A$300=$A27)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7" s="19">
        <f>IF($A27="","",IF(COUNTIFS(Måned!$A$5:$A$2000,$A27,Måned!$C$5:$C$2000,MONTH(I$5+3))=0,"",MAX(1,MIN(5,SUMIFS(Måned!$H$5:$H$2000,Måned!$A$5:$A$2000,$A27,Måned!$C$5:$C$2000,MONTH(I$5+3))+SUMPRODUCT((Vinduer!$A$5:$A$300=$A27)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7" s="19">
        <f>IF($A27="","",IF(COUNTIFS(Måned!$A$5:$A$2000,$A27,Måned!$C$5:$C$2000,MONTH(J$5+3))=0,"",MAX(1,MIN(5,SUMIFS(Måned!$H$5:$H$2000,Måned!$A$5:$A$2000,$A27,Måned!$C$5:$C$2000,MONTH(J$5+3))+SUMPRODUCT((Vinduer!$A$5:$A$300=$A27)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7" s="19">
        <f>IF($A27="","",IF(COUNTIFS(Måned!$A$5:$A$2000,$A27,Måned!$C$5:$C$2000,MONTH(K$5+3))=0,"",MAX(1,MIN(5,SUMIFS(Måned!$H$5:$H$2000,Måned!$A$5:$A$2000,$A27,Måned!$C$5:$C$2000,MONTH(K$5+3))+SUMPRODUCT((Vinduer!$A$5:$A$300=$A27)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7" s="19">
        <f>IF($A27="","",IF(COUNTIFS(Måned!$A$5:$A$2000,$A27,Måned!$C$5:$C$2000,MONTH(L$5+3))=0,"",MAX(1,MIN(5,SUMIFS(Måned!$H$5:$H$2000,Måned!$A$5:$A$2000,$A27,Måned!$C$5:$C$2000,MONTH(L$5+3))+SUMPRODUCT((Vinduer!$A$5:$A$300=$A27)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7" s="19">
        <f>IF($A27="","",IF(COUNTIFS(Måned!$A$5:$A$2000,$A27,Måned!$C$5:$C$2000,MONTH(M$5+3))=0,"",MAX(1,MIN(5,SUMIFS(Måned!$H$5:$H$2000,Måned!$A$5:$A$2000,$A27,Måned!$C$5:$C$2000,MONTH(M$5+3))+SUMPRODUCT((Vinduer!$A$5:$A$300=$A27)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7" s="19">
        <f>IF($A27="","",IF(COUNTIFS(Måned!$A$5:$A$2000,$A27,Måned!$C$5:$C$2000,MONTH(N$5+3))=0,"",MAX(1,MIN(5,SUMIFS(Måned!$H$5:$H$2000,Måned!$A$5:$A$2000,$A27,Måned!$C$5:$C$2000,MONTH(N$5+3))+SUMPRODUCT((Vinduer!$A$5:$A$300=$A27)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7" s="19">
        <f>IF($A27="","",IF(COUNTIFS(Måned!$A$5:$A$2000,$A27,Måned!$C$5:$C$2000,MONTH(O$5+3))=0,"",MAX(1,MIN(5,SUMIFS(Måned!$H$5:$H$2000,Måned!$A$5:$A$2000,$A27,Måned!$C$5:$C$2000,MONTH(O$5+3))+SUMPRODUCT((Vinduer!$A$5:$A$300=$A27)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7" s="19">
        <f>IF($A27="","",IF(COUNTIFS(Måned!$A$5:$A$2000,$A27,Måned!$C$5:$C$2000,MONTH(P$5+3))=0,"",MAX(1,MIN(5,SUMIFS(Måned!$H$5:$H$2000,Måned!$A$5:$A$2000,$A27,Måned!$C$5:$C$2000,MONTH(P$5+3))+SUMPRODUCT((Vinduer!$A$5:$A$300=$A27)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7" s="19">
        <f>IF($A27="","",IF(COUNTIFS(Måned!$A$5:$A$2000,$A27,Måned!$C$5:$C$2000,MONTH(Q$5+3))=0,"",MAX(1,MIN(5,SUMIFS(Måned!$H$5:$H$2000,Måned!$A$5:$A$2000,$A27,Måned!$C$5:$C$2000,MONTH(Q$5+3))+SUMPRODUCT((Vinduer!$A$5:$A$300=$A27)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7" s="19">
        <f>IF($A27="","",IF(COUNTIFS(Måned!$A$5:$A$2000,$A27,Måned!$C$5:$C$2000,MONTH(R$5+3))=0,"",MAX(1,MIN(5,SUMIFS(Måned!$H$5:$H$2000,Måned!$A$5:$A$2000,$A27,Måned!$C$5:$C$2000,MONTH(R$5+3))+SUMPRODUCT((Vinduer!$A$5:$A$300=$A27)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7" s="19">
        <f>IF($A27="","",IF(COUNTIFS(Måned!$A$5:$A$2000,$A27,Måned!$C$5:$C$2000,MONTH(S$5+3))=0,"",MAX(1,MIN(5,SUMIFS(Måned!$H$5:$H$2000,Måned!$A$5:$A$2000,$A27,Måned!$C$5:$C$2000,MONTH(S$5+3))+SUMPRODUCT((Vinduer!$A$5:$A$300=$A27)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7" s="19">
        <f>IF($A27="","",IF(COUNTIFS(Måned!$A$5:$A$2000,$A27,Måned!$C$5:$C$2000,MONTH(T$5+3))=0,"",MAX(1,MIN(5,SUMIFS(Måned!$H$5:$H$2000,Måned!$A$5:$A$2000,$A27,Måned!$C$5:$C$2000,MONTH(T$5+3))+SUMPRODUCT((Vinduer!$A$5:$A$300=$A27)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7" s="19">
        <f>IF($A27="","",IF(COUNTIFS(Måned!$A$5:$A$2000,$A27,Måned!$C$5:$C$2000,MONTH(U$5+3))=0,"",MAX(1,MIN(5,SUMIFS(Måned!$H$5:$H$2000,Måned!$A$5:$A$2000,$A27,Måned!$C$5:$C$2000,MONTH(U$5+3))+SUMPRODUCT((Vinduer!$A$5:$A$300=$A27)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7" s="19">
        <f>IF($A27="","",IF(COUNTIFS(Måned!$A$5:$A$2000,$A27,Måned!$C$5:$C$2000,MONTH(V$5+3))=0,"",MAX(1,MIN(5,SUMIFS(Måned!$H$5:$H$2000,Måned!$A$5:$A$2000,$A27,Måned!$C$5:$C$2000,MONTH(V$5+3))+SUMPRODUCT((Vinduer!$A$5:$A$300=$A27)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7" s="19">
        <f>IF($A27="","",IF(COUNTIFS(Måned!$A$5:$A$2000,$A27,Måned!$C$5:$C$2000,MONTH(W$5+3))=0,"",MAX(1,MIN(5,SUMIFS(Måned!$H$5:$H$2000,Måned!$A$5:$A$2000,$A27,Måned!$C$5:$C$2000,MONTH(W$5+3))+SUMPRODUCT((Vinduer!$A$5:$A$300=$A27)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7" s="19">
        <f>IF($A27="","",IF(COUNTIFS(Måned!$A$5:$A$2000,$A27,Måned!$C$5:$C$2000,MONTH(X$5+3))=0,"",MAX(1,MIN(5,SUMIFS(Måned!$H$5:$H$2000,Måned!$A$5:$A$2000,$A27,Måned!$C$5:$C$2000,MONTH(X$5+3))+SUMPRODUCT((Vinduer!$A$5:$A$300=$A27)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7" s="19">
        <f>IF($A27="","",IF(COUNTIFS(Måned!$A$5:$A$2000,$A27,Måned!$C$5:$C$2000,MONTH(Y$5+3))=0,"",MAX(1,MIN(5,SUMIFS(Måned!$H$5:$H$2000,Måned!$A$5:$A$2000,$A27,Måned!$C$5:$C$2000,MONTH(Y$5+3))+SUMPRODUCT((Vinduer!$A$5:$A$300=$A27)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7" s="19">
        <f>IF($A27="","",IF(COUNTIFS(Måned!$A$5:$A$2000,$A27,Måned!$C$5:$C$2000,MONTH(Z$5+3))=0,"",MAX(1,MIN(5,SUMIFS(Måned!$H$5:$H$2000,Måned!$A$5:$A$2000,$A27,Måned!$C$5:$C$2000,MONTH(Z$5+3))+SUMPRODUCT((Vinduer!$A$5:$A$300=$A27)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7" s="19">
        <f>IF($A27="","",IF(COUNTIFS(Måned!$A$5:$A$2000,$A27,Måned!$C$5:$C$2000,MONTH(AA$5+3))=0,"",MAX(1,MIN(5,SUMIFS(Måned!$H$5:$H$2000,Måned!$A$5:$A$2000,$A27,Måned!$C$5:$C$2000,MONTH(AA$5+3))+SUMPRODUCT((Vinduer!$A$5:$A$300=$A27)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7" s="19">
        <f>IF($A27="","",IF(COUNTIFS(Måned!$A$5:$A$2000,$A27,Måned!$C$5:$C$2000,MONTH(AB$5+3))=0,"",MAX(1,MIN(5,SUMIFS(Måned!$H$5:$H$2000,Måned!$A$5:$A$2000,$A27,Måned!$C$5:$C$2000,MONTH(AB$5+3))+SUMPRODUCT((Vinduer!$A$5:$A$300=$A27)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7" s="19">
        <f>IF($A27="","",IF(COUNTIFS(Måned!$A$5:$A$2000,$A27,Måned!$C$5:$C$2000,MONTH(AC$5+3))=0,"",MAX(1,MIN(5,SUMIFS(Måned!$H$5:$H$2000,Måned!$A$5:$A$2000,$A27,Måned!$C$5:$C$2000,MONTH(AC$5+3))+SUMPRODUCT((Vinduer!$A$5:$A$300=$A27)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7" s="19">
        <f>IF($A27="","",IF(COUNTIFS(Måned!$A$5:$A$2000,$A27,Måned!$C$5:$C$2000,MONTH(AD$5+3))=0,"",MAX(1,MIN(5,SUMIFS(Måned!$H$5:$H$2000,Måned!$A$5:$A$2000,$A27,Måned!$C$5:$C$2000,MONTH(AD$5+3))+SUMPRODUCT((Vinduer!$A$5:$A$300=$A27)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7" s="19">
        <f>IF($A27="","",IF(COUNTIFS(Måned!$A$5:$A$2000,$A27,Måned!$C$5:$C$2000,MONTH(AE$5+3))=0,"",MAX(1,MIN(5,SUMIFS(Måned!$H$5:$H$2000,Måned!$A$5:$A$2000,$A27,Måned!$C$5:$C$2000,MONTH(AE$5+3))+SUMPRODUCT((Vinduer!$A$5:$A$300=$A27)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7" s="19">
        <f>IF($A27="","",IF(COUNTIFS(Måned!$A$5:$A$2000,$A27,Måned!$C$5:$C$2000,MONTH(AF$5+3))=0,"",MAX(1,MIN(5,SUMIFS(Måned!$H$5:$H$2000,Måned!$A$5:$A$2000,$A27,Måned!$C$5:$C$2000,MONTH(AF$5+3))+SUMPRODUCT((Vinduer!$A$5:$A$300=$A27)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7" s="19">
        <f>IF($A27="","",IF(COUNTIFS(Måned!$A$5:$A$2000,$A27,Måned!$C$5:$C$2000,MONTH(AG$5+3))=0,"",MAX(1,MIN(5,SUMIFS(Måned!$H$5:$H$2000,Måned!$A$5:$A$2000,$A27,Måned!$C$5:$C$2000,MONTH(AG$5+3))+SUMPRODUCT((Vinduer!$A$5:$A$300=$A27)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7" s="19">
        <f>IF($A27="","",IF(COUNTIFS(Måned!$A$5:$A$2000,$A27,Måned!$C$5:$C$2000,MONTH(AH$5+3))=0,"",MAX(1,MIN(5,SUMIFS(Måned!$H$5:$H$2000,Måned!$A$5:$A$2000,$A27,Måned!$C$5:$C$2000,MONTH(AH$5+3))+SUMPRODUCT((Vinduer!$A$5:$A$300=$A27)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7" s="19">
        <f>IF($A27="","",IF(COUNTIFS(Måned!$A$5:$A$2000,$A27,Måned!$C$5:$C$2000,MONTH(AI$5+3))=0,"",MAX(1,MIN(5,SUMIFS(Måned!$H$5:$H$2000,Måned!$A$5:$A$2000,$A27,Måned!$C$5:$C$2000,MONTH(AI$5+3))+SUMPRODUCT((Vinduer!$A$5:$A$300=$A27)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7" s="19">
        <f>IF($A27="","",IF(COUNTIFS(Måned!$A$5:$A$2000,$A27,Måned!$C$5:$C$2000,MONTH(AJ$5+3))=0,"",MAX(1,MIN(5,SUMIFS(Måned!$H$5:$H$2000,Måned!$A$5:$A$2000,$A27,Måned!$C$5:$C$2000,MONTH(AJ$5+3))+SUMPRODUCT((Vinduer!$A$5:$A$300=$A27)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7" s="19">
        <f>IF($A27="","",IF(COUNTIFS(Måned!$A$5:$A$2000,$A27,Måned!$C$5:$C$2000,MONTH(AK$5+3))=0,"",MAX(1,MIN(5,SUMIFS(Måned!$H$5:$H$2000,Måned!$A$5:$A$2000,$A27,Måned!$C$5:$C$2000,MONTH(AK$5+3))+SUMPRODUCT((Vinduer!$A$5:$A$300=$A27)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7" s="19">
        <f>IF($A27="","",IF(COUNTIFS(Måned!$A$5:$A$2000,$A27,Måned!$C$5:$C$2000,MONTH(AL$5+3))=0,"",MAX(1,MIN(5,SUMIFS(Måned!$H$5:$H$2000,Måned!$A$5:$A$2000,$A27,Måned!$C$5:$C$2000,MONTH(AL$5+3))+SUMPRODUCT((Vinduer!$A$5:$A$300=$A27)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7" s="19">
        <f>IF($A27="","",IF(COUNTIFS(Måned!$A$5:$A$2000,$A27,Måned!$C$5:$C$2000,MONTH(AM$5+3))=0,"",MAX(1,MIN(5,SUMIFS(Måned!$H$5:$H$2000,Måned!$A$5:$A$2000,$A27,Måned!$C$5:$C$2000,MONTH(AM$5+3))+SUMPRODUCT((Vinduer!$A$5:$A$300=$A27)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7" s="19">
        <f>IF($A27="","",IF(COUNTIFS(Måned!$A$5:$A$2000,$A27,Måned!$C$5:$C$2000,MONTH(AN$5+3))=0,"",MAX(1,MIN(5,SUMIFS(Måned!$H$5:$H$2000,Måned!$A$5:$A$2000,$A27,Måned!$C$5:$C$2000,MONTH(AN$5+3))+SUMPRODUCT((Vinduer!$A$5:$A$300=$A27)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7" s="19">
        <f>IF($A27="","",IF(COUNTIFS(Måned!$A$5:$A$2000,$A27,Måned!$C$5:$C$2000,MONTH(AO$5+3))=0,"",MAX(1,MIN(5,SUMIFS(Måned!$H$5:$H$2000,Måned!$A$5:$A$2000,$A27,Måned!$C$5:$C$2000,MONTH(AO$5+3))+SUMPRODUCT((Vinduer!$A$5:$A$300=$A27)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7" s="19">
        <f>IF($A27="","",IF(COUNTIFS(Måned!$A$5:$A$2000,$A27,Måned!$C$5:$C$2000,MONTH(AP$5+3))=0,"",MAX(1,MIN(5,SUMIFS(Måned!$H$5:$H$2000,Måned!$A$5:$A$2000,$A27,Måned!$C$5:$C$2000,MONTH(AP$5+3))+SUMPRODUCT((Vinduer!$A$5:$A$300=$A27)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7" s="19">
        <f>IF($A27="","",IF(COUNTIFS(Måned!$A$5:$A$2000,$A27,Måned!$C$5:$C$2000,MONTH(AQ$5+3))=0,"",MAX(1,MIN(5,SUMIFS(Måned!$H$5:$H$2000,Måned!$A$5:$A$2000,$A27,Måned!$C$5:$C$2000,MONTH(AQ$5+3))+SUMPRODUCT((Vinduer!$A$5:$A$300=$A27)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7" s="19">
        <f>IF($A27="","",IF(COUNTIFS(Måned!$A$5:$A$2000,$A27,Måned!$C$5:$C$2000,MONTH(AR$5+3))=0,"",MAX(1,MIN(5,SUMIFS(Måned!$H$5:$H$2000,Måned!$A$5:$A$2000,$A27,Måned!$C$5:$C$2000,MONTH(AR$5+3))+SUMPRODUCT((Vinduer!$A$5:$A$300=$A27)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7" s="19">
        <f>IF($A27="","",IF(COUNTIFS(Måned!$A$5:$A$2000,$A27,Måned!$C$5:$C$2000,MONTH(AS$5+3))=0,"",MAX(1,MIN(5,SUMIFS(Måned!$H$5:$H$2000,Måned!$A$5:$A$2000,$A27,Måned!$C$5:$C$2000,MONTH(AS$5+3))+SUMPRODUCT((Vinduer!$A$5:$A$300=$A27)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7" s="19">
        <f>IF($A27="","",IF(COUNTIFS(Måned!$A$5:$A$2000,$A27,Måned!$C$5:$C$2000,MONTH(AT$5+3))=0,"",MAX(1,MIN(5,SUMIFS(Måned!$H$5:$H$2000,Måned!$A$5:$A$2000,$A27,Måned!$C$5:$C$2000,MONTH(AT$5+3))+SUMPRODUCT((Vinduer!$A$5:$A$300=$A27)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7" s="19">
        <f>IF($A27="","",IF(COUNTIFS(Måned!$A$5:$A$2000,$A27,Måned!$C$5:$C$2000,MONTH(AU$5+3))=0,"",MAX(1,MIN(5,SUMIFS(Måned!$H$5:$H$2000,Måned!$A$5:$A$2000,$A27,Måned!$C$5:$C$2000,MONTH(AU$5+3))+SUMPRODUCT((Vinduer!$A$5:$A$300=$A27)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7" s="19">
        <f>IF($A27="","",IF(COUNTIFS(Måned!$A$5:$A$2000,$A27,Måned!$C$5:$C$2000,MONTH(AV$5+3))=0,"",MAX(1,MIN(5,SUMIFS(Måned!$H$5:$H$2000,Måned!$A$5:$A$2000,$A27,Måned!$C$5:$C$2000,MONTH(AV$5+3))+SUMPRODUCT((Vinduer!$A$5:$A$300=$A27)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7" s="19">
        <f>IF($A27="","",IF(COUNTIFS(Måned!$A$5:$A$2000,$A27,Måned!$C$5:$C$2000,MONTH(AW$5+3))=0,"",MAX(1,MIN(5,SUMIFS(Måned!$H$5:$H$2000,Måned!$A$5:$A$2000,$A27,Måned!$C$5:$C$2000,MONTH(AW$5+3))+SUMPRODUCT((Vinduer!$A$5:$A$300=$A27)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7" s="19">
        <f>IF($A27="","",IF(COUNTIFS(Måned!$A$5:$A$2000,$A27,Måned!$C$5:$C$2000,MONTH(AX$5+3))=0,"",MAX(1,MIN(5,SUMIFS(Måned!$H$5:$H$2000,Måned!$A$5:$A$2000,$A27,Måned!$C$5:$C$2000,MONTH(AX$5+3))+SUMPRODUCT((Vinduer!$A$5:$A$300=$A27)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7" s="19">
        <f>IF($A27="","",IF(COUNTIFS(Måned!$A$5:$A$2000,$A27,Måned!$C$5:$C$2000,MONTH(AY$5+3))=0,"",MAX(1,MIN(5,SUMIFS(Måned!$H$5:$H$2000,Måned!$A$5:$A$2000,$A27,Måned!$C$5:$C$2000,MONTH(AY$5+3))+SUMPRODUCT((Vinduer!$A$5:$A$300=$A27)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7" s="19">
        <f>IF($A27="","",IF(COUNTIFS(Måned!$A$5:$A$2000,$A27,Måned!$C$5:$C$2000,MONTH(AZ$5+3))=0,"",MAX(1,MIN(5,SUMIFS(Måned!$H$5:$H$2000,Måned!$A$5:$A$2000,$A27,Måned!$C$5:$C$2000,MONTH(AZ$5+3))+SUMPRODUCT((Vinduer!$A$5:$A$300=$A27)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7" s="19">
        <f>IF($A27="","",IF(COUNTIFS(Måned!$A$5:$A$2000,$A27,Måned!$C$5:$C$2000,MONTH(BA$5+3))=0,"",MAX(1,MIN(5,SUMIFS(Måned!$H$5:$H$2000,Måned!$A$5:$A$2000,$A27,Måned!$C$5:$C$2000,MONTH(BA$5+3))+SUMPRODUCT((Vinduer!$A$5:$A$300=$A27)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7" s="19">
        <f>IF($A27="","",IF(COUNTIFS(Måned!$A$5:$A$2000,$A27,Måned!$C$5:$C$2000,MONTH(BB$5+3))=0,"",MAX(1,MIN(5,SUMIFS(Måned!$H$5:$H$2000,Måned!$A$5:$A$2000,$A27,Måned!$C$5:$C$2000,MONTH(BB$5+3))+SUMPRODUCT((Vinduer!$A$5:$A$300=$A27)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7" s="19">
        <f>IF($A27="","",IF(COUNTIFS(Måned!$A$5:$A$2000,$A27,Måned!$C$5:$C$2000,MONTH(BC$5+3))=0,"",MAX(1,MIN(5,SUMIFS(Måned!$H$5:$H$2000,Måned!$A$5:$A$2000,$A27,Måned!$C$5:$C$2000,MONTH(BC$5+3))+SUMPRODUCT((Vinduer!$A$5:$A$300=$A27)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7" s="19">
        <f>IF($A27="","",IF(COUNTIFS(Måned!$A$5:$A$2000,$A27,Måned!$C$5:$C$2000,MONTH(BD$5+3))=0,"",MAX(1,MIN(5,SUMIFS(Måned!$H$5:$H$2000,Måned!$A$5:$A$2000,$A27,Måned!$C$5:$C$2000,MONTH(BD$5+3))+SUMPRODUCT((Vinduer!$A$5:$A$300=$A27)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7" s="19">
        <f>IF($A27="","",IF(COUNTIFS(Måned!$A$5:$A$2000,$A27,Måned!$C$5:$C$2000,MONTH(BE$5+3))=0,"",MAX(1,MIN(5,SUMIFS(Måned!$H$5:$H$2000,Måned!$A$5:$A$2000,$A27,Måned!$C$5:$C$2000,MONTH(BE$5+3))+SUMPRODUCT((Vinduer!$A$5:$A$300=$A27)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8">
      <c r="A28" s="5">
        <f>IF(Destinasjoner!A24="","",Destinasjoner!A24)</f>
        <v/>
      </c>
      <c r="B28" s="5">
        <f>IF(A28="","",Destinasjoner!E24)</f>
        <v/>
      </c>
      <c r="C28" s="5">
        <f>IF(A28="","",Destinasjoner!B24)</f>
        <v/>
      </c>
      <c r="D28" s="17">
        <f>IFERROR(SUMIFS(F28:BE28,$F$7:$BE$7,"x")/COUNTIFS($F$7:$BE$7,"x",F28:BE28,"&gt;0"),"")</f>
        <v/>
      </c>
      <c r="E28" s="18">
        <f>IF(D28="","",_xlfn.MINIFS(F28:BE28,$F$7:$BE$7,"x",F28:BE28,"&gt;0"))</f>
        <v/>
      </c>
      <c r="F28" s="19">
        <f>IF($A28="","",IF(COUNTIFS(Måned!$A$5:$A$2000,$A28,Måned!$C$5:$C$2000,MONTH(F$5+3))=0,"",MAX(1,MIN(5,SUMIFS(Måned!$H$5:$H$2000,Måned!$A$5:$A$2000,$A28,Måned!$C$5:$C$2000,MONTH(F$5+3))+SUMPRODUCT((Vinduer!$A$5:$A$300=$A28)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8" s="19">
        <f>IF($A28="","",IF(COUNTIFS(Måned!$A$5:$A$2000,$A28,Måned!$C$5:$C$2000,MONTH(G$5+3))=0,"",MAX(1,MIN(5,SUMIFS(Måned!$H$5:$H$2000,Måned!$A$5:$A$2000,$A28,Måned!$C$5:$C$2000,MONTH(G$5+3))+SUMPRODUCT((Vinduer!$A$5:$A$300=$A28)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8" s="19">
        <f>IF($A28="","",IF(COUNTIFS(Måned!$A$5:$A$2000,$A28,Måned!$C$5:$C$2000,MONTH(H$5+3))=0,"",MAX(1,MIN(5,SUMIFS(Måned!$H$5:$H$2000,Måned!$A$5:$A$2000,$A28,Måned!$C$5:$C$2000,MONTH(H$5+3))+SUMPRODUCT((Vinduer!$A$5:$A$300=$A28)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8" s="19">
        <f>IF($A28="","",IF(COUNTIFS(Måned!$A$5:$A$2000,$A28,Måned!$C$5:$C$2000,MONTH(I$5+3))=0,"",MAX(1,MIN(5,SUMIFS(Måned!$H$5:$H$2000,Måned!$A$5:$A$2000,$A28,Måned!$C$5:$C$2000,MONTH(I$5+3))+SUMPRODUCT((Vinduer!$A$5:$A$300=$A28)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8" s="19">
        <f>IF($A28="","",IF(COUNTIFS(Måned!$A$5:$A$2000,$A28,Måned!$C$5:$C$2000,MONTH(J$5+3))=0,"",MAX(1,MIN(5,SUMIFS(Måned!$H$5:$H$2000,Måned!$A$5:$A$2000,$A28,Måned!$C$5:$C$2000,MONTH(J$5+3))+SUMPRODUCT((Vinduer!$A$5:$A$300=$A28)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8" s="19">
        <f>IF($A28="","",IF(COUNTIFS(Måned!$A$5:$A$2000,$A28,Måned!$C$5:$C$2000,MONTH(K$5+3))=0,"",MAX(1,MIN(5,SUMIFS(Måned!$H$5:$H$2000,Måned!$A$5:$A$2000,$A28,Måned!$C$5:$C$2000,MONTH(K$5+3))+SUMPRODUCT((Vinduer!$A$5:$A$300=$A28)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8" s="19">
        <f>IF($A28="","",IF(COUNTIFS(Måned!$A$5:$A$2000,$A28,Måned!$C$5:$C$2000,MONTH(L$5+3))=0,"",MAX(1,MIN(5,SUMIFS(Måned!$H$5:$H$2000,Måned!$A$5:$A$2000,$A28,Måned!$C$5:$C$2000,MONTH(L$5+3))+SUMPRODUCT((Vinduer!$A$5:$A$300=$A28)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8" s="19">
        <f>IF($A28="","",IF(COUNTIFS(Måned!$A$5:$A$2000,$A28,Måned!$C$5:$C$2000,MONTH(M$5+3))=0,"",MAX(1,MIN(5,SUMIFS(Måned!$H$5:$H$2000,Måned!$A$5:$A$2000,$A28,Måned!$C$5:$C$2000,MONTH(M$5+3))+SUMPRODUCT((Vinduer!$A$5:$A$300=$A28)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8" s="19">
        <f>IF($A28="","",IF(COUNTIFS(Måned!$A$5:$A$2000,$A28,Måned!$C$5:$C$2000,MONTH(N$5+3))=0,"",MAX(1,MIN(5,SUMIFS(Måned!$H$5:$H$2000,Måned!$A$5:$A$2000,$A28,Måned!$C$5:$C$2000,MONTH(N$5+3))+SUMPRODUCT((Vinduer!$A$5:$A$300=$A28)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8" s="19">
        <f>IF($A28="","",IF(COUNTIFS(Måned!$A$5:$A$2000,$A28,Måned!$C$5:$C$2000,MONTH(O$5+3))=0,"",MAX(1,MIN(5,SUMIFS(Måned!$H$5:$H$2000,Måned!$A$5:$A$2000,$A28,Måned!$C$5:$C$2000,MONTH(O$5+3))+SUMPRODUCT((Vinduer!$A$5:$A$300=$A28)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8" s="19">
        <f>IF($A28="","",IF(COUNTIFS(Måned!$A$5:$A$2000,$A28,Måned!$C$5:$C$2000,MONTH(P$5+3))=0,"",MAX(1,MIN(5,SUMIFS(Måned!$H$5:$H$2000,Måned!$A$5:$A$2000,$A28,Måned!$C$5:$C$2000,MONTH(P$5+3))+SUMPRODUCT((Vinduer!$A$5:$A$300=$A28)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8" s="19">
        <f>IF($A28="","",IF(COUNTIFS(Måned!$A$5:$A$2000,$A28,Måned!$C$5:$C$2000,MONTH(Q$5+3))=0,"",MAX(1,MIN(5,SUMIFS(Måned!$H$5:$H$2000,Måned!$A$5:$A$2000,$A28,Måned!$C$5:$C$2000,MONTH(Q$5+3))+SUMPRODUCT((Vinduer!$A$5:$A$300=$A28)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8" s="19">
        <f>IF($A28="","",IF(COUNTIFS(Måned!$A$5:$A$2000,$A28,Måned!$C$5:$C$2000,MONTH(R$5+3))=0,"",MAX(1,MIN(5,SUMIFS(Måned!$H$5:$H$2000,Måned!$A$5:$A$2000,$A28,Måned!$C$5:$C$2000,MONTH(R$5+3))+SUMPRODUCT((Vinduer!$A$5:$A$300=$A28)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8" s="19">
        <f>IF($A28="","",IF(COUNTIFS(Måned!$A$5:$A$2000,$A28,Måned!$C$5:$C$2000,MONTH(S$5+3))=0,"",MAX(1,MIN(5,SUMIFS(Måned!$H$5:$H$2000,Måned!$A$5:$A$2000,$A28,Måned!$C$5:$C$2000,MONTH(S$5+3))+SUMPRODUCT((Vinduer!$A$5:$A$300=$A28)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8" s="19">
        <f>IF($A28="","",IF(COUNTIFS(Måned!$A$5:$A$2000,$A28,Måned!$C$5:$C$2000,MONTH(T$5+3))=0,"",MAX(1,MIN(5,SUMIFS(Måned!$H$5:$H$2000,Måned!$A$5:$A$2000,$A28,Måned!$C$5:$C$2000,MONTH(T$5+3))+SUMPRODUCT((Vinduer!$A$5:$A$300=$A28)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8" s="19">
        <f>IF($A28="","",IF(COUNTIFS(Måned!$A$5:$A$2000,$A28,Måned!$C$5:$C$2000,MONTH(U$5+3))=0,"",MAX(1,MIN(5,SUMIFS(Måned!$H$5:$H$2000,Måned!$A$5:$A$2000,$A28,Måned!$C$5:$C$2000,MONTH(U$5+3))+SUMPRODUCT((Vinduer!$A$5:$A$300=$A28)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8" s="19">
        <f>IF($A28="","",IF(COUNTIFS(Måned!$A$5:$A$2000,$A28,Måned!$C$5:$C$2000,MONTH(V$5+3))=0,"",MAX(1,MIN(5,SUMIFS(Måned!$H$5:$H$2000,Måned!$A$5:$A$2000,$A28,Måned!$C$5:$C$2000,MONTH(V$5+3))+SUMPRODUCT((Vinduer!$A$5:$A$300=$A28)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8" s="19">
        <f>IF($A28="","",IF(COUNTIFS(Måned!$A$5:$A$2000,$A28,Måned!$C$5:$C$2000,MONTH(W$5+3))=0,"",MAX(1,MIN(5,SUMIFS(Måned!$H$5:$H$2000,Måned!$A$5:$A$2000,$A28,Måned!$C$5:$C$2000,MONTH(W$5+3))+SUMPRODUCT((Vinduer!$A$5:$A$300=$A28)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8" s="19">
        <f>IF($A28="","",IF(COUNTIFS(Måned!$A$5:$A$2000,$A28,Måned!$C$5:$C$2000,MONTH(X$5+3))=0,"",MAX(1,MIN(5,SUMIFS(Måned!$H$5:$H$2000,Måned!$A$5:$A$2000,$A28,Måned!$C$5:$C$2000,MONTH(X$5+3))+SUMPRODUCT((Vinduer!$A$5:$A$300=$A28)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8" s="19">
        <f>IF($A28="","",IF(COUNTIFS(Måned!$A$5:$A$2000,$A28,Måned!$C$5:$C$2000,MONTH(Y$5+3))=0,"",MAX(1,MIN(5,SUMIFS(Måned!$H$5:$H$2000,Måned!$A$5:$A$2000,$A28,Måned!$C$5:$C$2000,MONTH(Y$5+3))+SUMPRODUCT((Vinduer!$A$5:$A$300=$A28)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8" s="19">
        <f>IF($A28="","",IF(COUNTIFS(Måned!$A$5:$A$2000,$A28,Måned!$C$5:$C$2000,MONTH(Z$5+3))=0,"",MAX(1,MIN(5,SUMIFS(Måned!$H$5:$H$2000,Måned!$A$5:$A$2000,$A28,Måned!$C$5:$C$2000,MONTH(Z$5+3))+SUMPRODUCT((Vinduer!$A$5:$A$300=$A28)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8" s="19">
        <f>IF($A28="","",IF(COUNTIFS(Måned!$A$5:$A$2000,$A28,Måned!$C$5:$C$2000,MONTH(AA$5+3))=0,"",MAX(1,MIN(5,SUMIFS(Måned!$H$5:$H$2000,Måned!$A$5:$A$2000,$A28,Måned!$C$5:$C$2000,MONTH(AA$5+3))+SUMPRODUCT((Vinduer!$A$5:$A$300=$A28)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8" s="19">
        <f>IF($A28="","",IF(COUNTIFS(Måned!$A$5:$A$2000,$A28,Måned!$C$5:$C$2000,MONTH(AB$5+3))=0,"",MAX(1,MIN(5,SUMIFS(Måned!$H$5:$H$2000,Måned!$A$5:$A$2000,$A28,Måned!$C$5:$C$2000,MONTH(AB$5+3))+SUMPRODUCT((Vinduer!$A$5:$A$300=$A28)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8" s="19">
        <f>IF($A28="","",IF(COUNTIFS(Måned!$A$5:$A$2000,$A28,Måned!$C$5:$C$2000,MONTH(AC$5+3))=0,"",MAX(1,MIN(5,SUMIFS(Måned!$H$5:$H$2000,Måned!$A$5:$A$2000,$A28,Måned!$C$5:$C$2000,MONTH(AC$5+3))+SUMPRODUCT((Vinduer!$A$5:$A$300=$A28)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8" s="19">
        <f>IF($A28="","",IF(COUNTIFS(Måned!$A$5:$A$2000,$A28,Måned!$C$5:$C$2000,MONTH(AD$5+3))=0,"",MAX(1,MIN(5,SUMIFS(Måned!$H$5:$H$2000,Måned!$A$5:$A$2000,$A28,Måned!$C$5:$C$2000,MONTH(AD$5+3))+SUMPRODUCT((Vinduer!$A$5:$A$300=$A28)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8" s="19">
        <f>IF($A28="","",IF(COUNTIFS(Måned!$A$5:$A$2000,$A28,Måned!$C$5:$C$2000,MONTH(AE$5+3))=0,"",MAX(1,MIN(5,SUMIFS(Måned!$H$5:$H$2000,Måned!$A$5:$A$2000,$A28,Måned!$C$5:$C$2000,MONTH(AE$5+3))+SUMPRODUCT((Vinduer!$A$5:$A$300=$A28)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8" s="19">
        <f>IF($A28="","",IF(COUNTIFS(Måned!$A$5:$A$2000,$A28,Måned!$C$5:$C$2000,MONTH(AF$5+3))=0,"",MAX(1,MIN(5,SUMIFS(Måned!$H$5:$H$2000,Måned!$A$5:$A$2000,$A28,Måned!$C$5:$C$2000,MONTH(AF$5+3))+SUMPRODUCT((Vinduer!$A$5:$A$300=$A28)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8" s="19">
        <f>IF($A28="","",IF(COUNTIFS(Måned!$A$5:$A$2000,$A28,Måned!$C$5:$C$2000,MONTH(AG$5+3))=0,"",MAX(1,MIN(5,SUMIFS(Måned!$H$5:$H$2000,Måned!$A$5:$A$2000,$A28,Måned!$C$5:$C$2000,MONTH(AG$5+3))+SUMPRODUCT((Vinduer!$A$5:$A$300=$A28)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8" s="19">
        <f>IF($A28="","",IF(COUNTIFS(Måned!$A$5:$A$2000,$A28,Måned!$C$5:$C$2000,MONTH(AH$5+3))=0,"",MAX(1,MIN(5,SUMIFS(Måned!$H$5:$H$2000,Måned!$A$5:$A$2000,$A28,Måned!$C$5:$C$2000,MONTH(AH$5+3))+SUMPRODUCT((Vinduer!$A$5:$A$300=$A28)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8" s="19">
        <f>IF($A28="","",IF(COUNTIFS(Måned!$A$5:$A$2000,$A28,Måned!$C$5:$C$2000,MONTH(AI$5+3))=0,"",MAX(1,MIN(5,SUMIFS(Måned!$H$5:$H$2000,Måned!$A$5:$A$2000,$A28,Måned!$C$5:$C$2000,MONTH(AI$5+3))+SUMPRODUCT((Vinduer!$A$5:$A$300=$A28)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8" s="19">
        <f>IF($A28="","",IF(COUNTIFS(Måned!$A$5:$A$2000,$A28,Måned!$C$5:$C$2000,MONTH(AJ$5+3))=0,"",MAX(1,MIN(5,SUMIFS(Måned!$H$5:$H$2000,Måned!$A$5:$A$2000,$A28,Måned!$C$5:$C$2000,MONTH(AJ$5+3))+SUMPRODUCT((Vinduer!$A$5:$A$300=$A28)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8" s="19">
        <f>IF($A28="","",IF(COUNTIFS(Måned!$A$5:$A$2000,$A28,Måned!$C$5:$C$2000,MONTH(AK$5+3))=0,"",MAX(1,MIN(5,SUMIFS(Måned!$H$5:$H$2000,Måned!$A$5:$A$2000,$A28,Måned!$C$5:$C$2000,MONTH(AK$5+3))+SUMPRODUCT((Vinduer!$A$5:$A$300=$A28)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8" s="19">
        <f>IF($A28="","",IF(COUNTIFS(Måned!$A$5:$A$2000,$A28,Måned!$C$5:$C$2000,MONTH(AL$5+3))=0,"",MAX(1,MIN(5,SUMIFS(Måned!$H$5:$H$2000,Måned!$A$5:$A$2000,$A28,Måned!$C$5:$C$2000,MONTH(AL$5+3))+SUMPRODUCT((Vinduer!$A$5:$A$300=$A28)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8" s="19">
        <f>IF($A28="","",IF(COUNTIFS(Måned!$A$5:$A$2000,$A28,Måned!$C$5:$C$2000,MONTH(AM$5+3))=0,"",MAX(1,MIN(5,SUMIFS(Måned!$H$5:$H$2000,Måned!$A$5:$A$2000,$A28,Måned!$C$5:$C$2000,MONTH(AM$5+3))+SUMPRODUCT((Vinduer!$A$5:$A$300=$A28)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8" s="19">
        <f>IF($A28="","",IF(COUNTIFS(Måned!$A$5:$A$2000,$A28,Måned!$C$5:$C$2000,MONTH(AN$5+3))=0,"",MAX(1,MIN(5,SUMIFS(Måned!$H$5:$H$2000,Måned!$A$5:$A$2000,$A28,Måned!$C$5:$C$2000,MONTH(AN$5+3))+SUMPRODUCT((Vinduer!$A$5:$A$300=$A28)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8" s="19">
        <f>IF($A28="","",IF(COUNTIFS(Måned!$A$5:$A$2000,$A28,Måned!$C$5:$C$2000,MONTH(AO$5+3))=0,"",MAX(1,MIN(5,SUMIFS(Måned!$H$5:$H$2000,Måned!$A$5:$A$2000,$A28,Måned!$C$5:$C$2000,MONTH(AO$5+3))+SUMPRODUCT((Vinduer!$A$5:$A$300=$A28)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8" s="19">
        <f>IF($A28="","",IF(COUNTIFS(Måned!$A$5:$A$2000,$A28,Måned!$C$5:$C$2000,MONTH(AP$5+3))=0,"",MAX(1,MIN(5,SUMIFS(Måned!$H$5:$H$2000,Måned!$A$5:$A$2000,$A28,Måned!$C$5:$C$2000,MONTH(AP$5+3))+SUMPRODUCT((Vinduer!$A$5:$A$300=$A28)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8" s="19">
        <f>IF($A28="","",IF(COUNTIFS(Måned!$A$5:$A$2000,$A28,Måned!$C$5:$C$2000,MONTH(AQ$5+3))=0,"",MAX(1,MIN(5,SUMIFS(Måned!$H$5:$H$2000,Måned!$A$5:$A$2000,$A28,Måned!$C$5:$C$2000,MONTH(AQ$5+3))+SUMPRODUCT((Vinduer!$A$5:$A$300=$A28)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8" s="19">
        <f>IF($A28="","",IF(COUNTIFS(Måned!$A$5:$A$2000,$A28,Måned!$C$5:$C$2000,MONTH(AR$5+3))=0,"",MAX(1,MIN(5,SUMIFS(Måned!$H$5:$H$2000,Måned!$A$5:$A$2000,$A28,Måned!$C$5:$C$2000,MONTH(AR$5+3))+SUMPRODUCT((Vinduer!$A$5:$A$300=$A28)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8" s="19">
        <f>IF($A28="","",IF(COUNTIFS(Måned!$A$5:$A$2000,$A28,Måned!$C$5:$C$2000,MONTH(AS$5+3))=0,"",MAX(1,MIN(5,SUMIFS(Måned!$H$5:$H$2000,Måned!$A$5:$A$2000,$A28,Måned!$C$5:$C$2000,MONTH(AS$5+3))+SUMPRODUCT((Vinduer!$A$5:$A$300=$A28)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8" s="19">
        <f>IF($A28="","",IF(COUNTIFS(Måned!$A$5:$A$2000,$A28,Måned!$C$5:$C$2000,MONTH(AT$5+3))=0,"",MAX(1,MIN(5,SUMIFS(Måned!$H$5:$H$2000,Måned!$A$5:$A$2000,$A28,Måned!$C$5:$C$2000,MONTH(AT$5+3))+SUMPRODUCT((Vinduer!$A$5:$A$300=$A28)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8" s="19">
        <f>IF($A28="","",IF(COUNTIFS(Måned!$A$5:$A$2000,$A28,Måned!$C$5:$C$2000,MONTH(AU$5+3))=0,"",MAX(1,MIN(5,SUMIFS(Måned!$H$5:$H$2000,Måned!$A$5:$A$2000,$A28,Måned!$C$5:$C$2000,MONTH(AU$5+3))+SUMPRODUCT((Vinduer!$A$5:$A$300=$A28)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8" s="19">
        <f>IF($A28="","",IF(COUNTIFS(Måned!$A$5:$A$2000,$A28,Måned!$C$5:$C$2000,MONTH(AV$5+3))=0,"",MAX(1,MIN(5,SUMIFS(Måned!$H$5:$H$2000,Måned!$A$5:$A$2000,$A28,Måned!$C$5:$C$2000,MONTH(AV$5+3))+SUMPRODUCT((Vinduer!$A$5:$A$300=$A28)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8" s="19">
        <f>IF($A28="","",IF(COUNTIFS(Måned!$A$5:$A$2000,$A28,Måned!$C$5:$C$2000,MONTH(AW$5+3))=0,"",MAX(1,MIN(5,SUMIFS(Måned!$H$5:$H$2000,Måned!$A$5:$A$2000,$A28,Måned!$C$5:$C$2000,MONTH(AW$5+3))+SUMPRODUCT((Vinduer!$A$5:$A$300=$A28)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8" s="19">
        <f>IF($A28="","",IF(COUNTIFS(Måned!$A$5:$A$2000,$A28,Måned!$C$5:$C$2000,MONTH(AX$5+3))=0,"",MAX(1,MIN(5,SUMIFS(Måned!$H$5:$H$2000,Måned!$A$5:$A$2000,$A28,Måned!$C$5:$C$2000,MONTH(AX$5+3))+SUMPRODUCT((Vinduer!$A$5:$A$300=$A28)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8" s="19">
        <f>IF($A28="","",IF(COUNTIFS(Måned!$A$5:$A$2000,$A28,Måned!$C$5:$C$2000,MONTH(AY$5+3))=0,"",MAX(1,MIN(5,SUMIFS(Måned!$H$5:$H$2000,Måned!$A$5:$A$2000,$A28,Måned!$C$5:$C$2000,MONTH(AY$5+3))+SUMPRODUCT((Vinduer!$A$5:$A$300=$A28)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8" s="19">
        <f>IF($A28="","",IF(COUNTIFS(Måned!$A$5:$A$2000,$A28,Måned!$C$5:$C$2000,MONTH(AZ$5+3))=0,"",MAX(1,MIN(5,SUMIFS(Måned!$H$5:$H$2000,Måned!$A$5:$A$2000,$A28,Måned!$C$5:$C$2000,MONTH(AZ$5+3))+SUMPRODUCT((Vinduer!$A$5:$A$300=$A28)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8" s="19">
        <f>IF($A28="","",IF(COUNTIFS(Måned!$A$5:$A$2000,$A28,Måned!$C$5:$C$2000,MONTH(BA$5+3))=0,"",MAX(1,MIN(5,SUMIFS(Måned!$H$5:$H$2000,Måned!$A$5:$A$2000,$A28,Måned!$C$5:$C$2000,MONTH(BA$5+3))+SUMPRODUCT((Vinduer!$A$5:$A$300=$A28)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8" s="19">
        <f>IF($A28="","",IF(COUNTIFS(Måned!$A$5:$A$2000,$A28,Måned!$C$5:$C$2000,MONTH(BB$5+3))=0,"",MAX(1,MIN(5,SUMIFS(Måned!$H$5:$H$2000,Måned!$A$5:$A$2000,$A28,Måned!$C$5:$C$2000,MONTH(BB$5+3))+SUMPRODUCT((Vinduer!$A$5:$A$300=$A28)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8" s="19">
        <f>IF($A28="","",IF(COUNTIFS(Måned!$A$5:$A$2000,$A28,Måned!$C$5:$C$2000,MONTH(BC$5+3))=0,"",MAX(1,MIN(5,SUMIFS(Måned!$H$5:$H$2000,Måned!$A$5:$A$2000,$A28,Måned!$C$5:$C$2000,MONTH(BC$5+3))+SUMPRODUCT((Vinduer!$A$5:$A$300=$A28)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8" s="19">
        <f>IF($A28="","",IF(COUNTIFS(Måned!$A$5:$A$2000,$A28,Måned!$C$5:$C$2000,MONTH(BD$5+3))=0,"",MAX(1,MIN(5,SUMIFS(Måned!$H$5:$H$2000,Måned!$A$5:$A$2000,$A28,Måned!$C$5:$C$2000,MONTH(BD$5+3))+SUMPRODUCT((Vinduer!$A$5:$A$300=$A28)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8" s="19">
        <f>IF($A28="","",IF(COUNTIFS(Måned!$A$5:$A$2000,$A28,Måned!$C$5:$C$2000,MONTH(BE$5+3))=0,"",MAX(1,MIN(5,SUMIFS(Måned!$H$5:$H$2000,Måned!$A$5:$A$2000,$A28,Måned!$C$5:$C$2000,MONTH(BE$5+3))+SUMPRODUCT((Vinduer!$A$5:$A$300=$A28)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29">
      <c r="A29" s="5">
        <f>IF(Destinasjoner!A25="","",Destinasjoner!A25)</f>
        <v/>
      </c>
      <c r="B29" s="5">
        <f>IF(A29="","",Destinasjoner!E25)</f>
        <v/>
      </c>
      <c r="C29" s="5">
        <f>IF(A29="","",Destinasjoner!B25)</f>
        <v/>
      </c>
      <c r="D29" s="17">
        <f>IFERROR(SUMIFS(F29:BE29,$F$7:$BE$7,"x")/COUNTIFS($F$7:$BE$7,"x",F29:BE29,"&gt;0"),"")</f>
        <v/>
      </c>
      <c r="E29" s="18">
        <f>IF(D29="","",_xlfn.MINIFS(F29:BE29,$F$7:$BE$7,"x",F29:BE29,"&gt;0"))</f>
        <v/>
      </c>
      <c r="F29" s="19">
        <f>IF($A29="","",IF(COUNTIFS(Måned!$A$5:$A$2000,$A29,Måned!$C$5:$C$2000,MONTH(F$5+3))=0,"",MAX(1,MIN(5,SUMIFS(Måned!$H$5:$H$2000,Måned!$A$5:$A$2000,$A29,Måned!$C$5:$C$2000,MONTH(F$5+3))+SUMPRODUCT((Vinduer!$A$5:$A$300=$A29)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29" s="19">
        <f>IF($A29="","",IF(COUNTIFS(Måned!$A$5:$A$2000,$A29,Måned!$C$5:$C$2000,MONTH(G$5+3))=0,"",MAX(1,MIN(5,SUMIFS(Måned!$H$5:$H$2000,Måned!$A$5:$A$2000,$A29,Måned!$C$5:$C$2000,MONTH(G$5+3))+SUMPRODUCT((Vinduer!$A$5:$A$300=$A29)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29" s="19">
        <f>IF($A29="","",IF(COUNTIFS(Måned!$A$5:$A$2000,$A29,Måned!$C$5:$C$2000,MONTH(H$5+3))=0,"",MAX(1,MIN(5,SUMIFS(Måned!$H$5:$H$2000,Måned!$A$5:$A$2000,$A29,Måned!$C$5:$C$2000,MONTH(H$5+3))+SUMPRODUCT((Vinduer!$A$5:$A$300=$A29)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29" s="19">
        <f>IF($A29="","",IF(COUNTIFS(Måned!$A$5:$A$2000,$A29,Måned!$C$5:$C$2000,MONTH(I$5+3))=0,"",MAX(1,MIN(5,SUMIFS(Måned!$H$5:$H$2000,Måned!$A$5:$A$2000,$A29,Måned!$C$5:$C$2000,MONTH(I$5+3))+SUMPRODUCT((Vinduer!$A$5:$A$300=$A29)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29" s="19">
        <f>IF($A29="","",IF(COUNTIFS(Måned!$A$5:$A$2000,$A29,Måned!$C$5:$C$2000,MONTH(J$5+3))=0,"",MAX(1,MIN(5,SUMIFS(Måned!$H$5:$H$2000,Måned!$A$5:$A$2000,$A29,Måned!$C$5:$C$2000,MONTH(J$5+3))+SUMPRODUCT((Vinduer!$A$5:$A$300=$A29)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29" s="19">
        <f>IF($A29="","",IF(COUNTIFS(Måned!$A$5:$A$2000,$A29,Måned!$C$5:$C$2000,MONTH(K$5+3))=0,"",MAX(1,MIN(5,SUMIFS(Måned!$H$5:$H$2000,Måned!$A$5:$A$2000,$A29,Måned!$C$5:$C$2000,MONTH(K$5+3))+SUMPRODUCT((Vinduer!$A$5:$A$300=$A29)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29" s="19">
        <f>IF($A29="","",IF(COUNTIFS(Måned!$A$5:$A$2000,$A29,Måned!$C$5:$C$2000,MONTH(L$5+3))=0,"",MAX(1,MIN(5,SUMIFS(Måned!$H$5:$H$2000,Måned!$A$5:$A$2000,$A29,Måned!$C$5:$C$2000,MONTH(L$5+3))+SUMPRODUCT((Vinduer!$A$5:$A$300=$A29)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29" s="19">
        <f>IF($A29="","",IF(COUNTIFS(Måned!$A$5:$A$2000,$A29,Måned!$C$5:$C$2000,MONTH(M$5+3))=0,"",MAX(1,MIN(5,SUMIFS(Måned!$H$5:$H$2000,Måned!$A$5:$A$2000,$A29,Måned!$C$5:$C$2000,MONTH(M$5+3))+SUMPRODUCT((Vinduer!$A$5:$A$300=$A29)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29" s="19">
        <f>IF($A29="","",IF(COUNTIFS(Måned!$A$5:$A$2000,$A29,Måned!$C$5:$C$2000,MONTH(N$5+3))=0,"",MAX(1,MIN(5,SUMIFS(Måned!$H$5:$H$2000,Måned!$A$5:$A$2000,$A29,Måned!$C$5:$C$2000,MONTH(N$5+3))+SUMPRODUCT((Vinduer!$A$5:$A$300=$A29)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29" s="19">
        <f>IF($A29="","",IF(COUNTIFS(Måned!$A$5:$A$2000,$A29,Måned!$C$5:$C$2000,MONTH(O$5+3))=0,"",MAX(1,MIN(5,SUMIFS(Måned!$H$5:$H$2000,Måned!$A$5:$A$2000,$A29,Måned!$C$5:$C$2000,MONTH(O$5+3))+SUMPRODUCT((Vinduer!$A$5:$A$300=$A29)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29" s="19">
        <f>IF($A29="","",IF(COUNTIFS(Måned!$A$5:$A$2000,$A29,Måned!$C$5:$C$2000,MONTH(P$5+3))=0,"",MAX(1,MIN(5,SUMIFS(Måned!$H$5:$H$2000,Måned!$A$5:$A$2000,$A29,Måned!$C$5:$C$2000,MONTH(P$5+3))+SUMPRODUCT((Vinduer!$A$5:$A$300=$A29)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29" s="19">
        <f>IF($A29="","",IF(COUNTIFS(Måned!$A$5:$A$2000,$A29,Måned!$C$5:$C$2000,MONTH(Q$5+3))=0,"",MAX(1,MIN(5,SUMIFS(Måned!$H$5:$H$2000,Måned!$A$5:$A$2000,$A29,Måned!$C$5:$C$2000,MONTH(Q$5+3))+SUMPRODUCT((Vinduer!$A$5:$A$300=$A29)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29" s="19">
        <f>IF($A29="","",IF(COUNTIFS(Måned!$A$5:$A$2000,$A29,Måned!$C$5:$C$2000,MONTH(R$5+3))=0,"",MAX(1,MIN(5,SUMIFS(Måned!$H$5:$H$2000,Måned!$A$5:$A$2000,$A29,Måned!$C$5:$C$2000,MONTH(R$5+3))+SUMPRODUCT((Vinduer!$A$5:$A$300=$A29)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29" s="19">
        <f>IF($A29="","",IF(COUNTIFS(Måned!$A$5:$A$2000,$A29,Måned!$C$5:$C$2000,MONTH(S$5+3))=0,"",MAX(1,MIN(5,SUMIFS(Måned!$H$5:$H$2000,Måned!$A$5:$A$2000,$A29,Måned!$C$5:$C$2000,MONTH(S$5+3))+SUMPRODUCT((Vinduer!$A$5:$A$300=$A29)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29" s="19">
        <f>IF($A29="","",IF(COUNTIFS(Måned!$A$5:$A$2000,$A29,Måned!$C$5:$C$2000,MONTH(T$5+3))=0,"",MAX(1,MIN(5,SUMIFS(Måned!$H$5:$H$2000,Måned!$A$5:$A$2000,$A29,Måned!$C$5:$C$2000,MONTH(T$5+3))+SUMPRODUCT((Vinduer!$A$5:$A$300=$A29)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29" s="19">
        <f>IF($A29="","",IF(COUNTIFS(Måned!$A$5:$A$2000,$A29,Måned!$C$5:$C$2000,MONTH(U$5+3))=0,"",MAX(1,MIN(5,SUMIFS(Måned!$H$5:$H$2000,Måned!$A$5:$A$2000,$A29,Måned!$C$5:$C$2000,MONTH(U$5+3))+SUMPRODUCT((Vinduer!$A$5:$A$300=$A29)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29" s="19">
        <f>IF($A29="","",IF(COUNTIFS(Måned!$A$5:$A$2000,$A29,Måned!$C$5:$C$2000,MONTH(V$5+3))=0,"",MAX(1,MIN(5,SUMIFS(Måned!$H$5:$H$2000,Måned!$A$5:$A$2000,$A29,Måned!$C$5:$C$2000,MONTH(V$5+3))+SUMPRODUCT((Vinduer!$A$5:$A$300=$A29)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29" s="19">
        <f>IF($A29="","",IF(COUNTIFS(Måned!$A$5:$A$2000,$A29,Måned!$C$5:$C$2000,MONTH(W$5+3))=0,"",MAX(1,MIN(5,SUMIFS(Måned!$H$5:$H$2000,Måned!$A$5:$A$2000,$A29,Måned!$C$5:$C$2000,MONTH(W$5+3))+SUMPRODUCT((Vinduer!$A$5:$A$300=$A29)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29" s="19">
        <f>IF($A29="","",IF(COUNTIFS(Måned!$A$5:$A$2000,$A29,Måned!$C$5:$C$2000,MONTH(X$5+3))=0,"",MAX(1,MIN(5,SUMIFS(Måned!$H$5:$H$2000,Måned!$A$5:$A$2000,$A29,Måned!$C$5:$C$2000,MONTH(X$5+3))+SUMPRODUCT((Vinduer!$A$5:$A$300=$A29)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29" s="19">
        <f>IF($A29="","",IF(COUNTIFS(Måned!$A$5:$A$2000,$A29,Måned!$C$5:$C$2000,MONTH(Y$5+3))=0,"",MAX(1,MIN(5,SUMIFS(Måned!$H$5:$H$2000,Måned!$A$5:$A$2000,$A29,Måned!$C$5:$C$2000,MONTH(Y$5+3))+SUMPRODUCT((Vinduer!$A$5:$A$300=$A29)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29" s="19">
        <f>IF($A29="","",IF(COUNTIFS(Måned!$A$5:$A$2000,$A29,Måned!$C$5:$C$2000,MONTH(Z$5+3))=0,"",MAX(1,MIN(5,SUMIFS(Måned!$H$5:$H$2000,Måned!$A$5:$A$2000,$A29,Måned!$C$5:$C$2000,MONTH(Z$5+3))+SUMPRODUCT((Vinduer!$A$5:$A$300=$A29)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29" s="19">
        <f>IF($A29="","",IF(COUNTIFS(Måned!$A$5:$A$2000,$A29,Måned!$C$5:$C$2000,MONTH(AA$5+3))=0,"",MAX(1,MIN(5,SUMIFS(Måned!$H$5:$H$2000,Måned!$A$5:$A$2000,$A29,Måned!$C$5:$C$2000,MONTH(AA$5+3))+SUMPRODUCT((Vinduer!$A$5:$A$300=$A29)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29" s="19">
        <f>IF($A29="","",IF(COUNTIFS(Måned!$A$5:$A$2000,$A29,Måned!$C$5:$C$2000,MONTH(AB$5+3))=0,"",MAX(1,MIN(5,SUMIFS(Måned!$H$5:$H$2000,Måned!$A$5:$A$2000,$A29,Måned!$C$5:$C$2000,MONTH(AB$5+3))+SUMPRODUCT((Vinduer!$A$5:$A$300=$A29)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29" s="19">
        <f>IF($A29="","",IF(COUNTIFS(Måned!$A$5:$A$2000,$A29,Måned!$C$5:$C$2000,MONTH(AC$5+3))=0,"",MAX(1,MIN(5,SUMIFS(Måned!$H$5:$H$2000,Måned!$A$5:$A$2000,$A29,Måned!$C$5:$C$2000,MONTH(AC$5+3))+SUMPRODUCT((Vinduer!$A$5:$A$300=$A29)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29" s="19">
        <f>IF($A29="","",IF(COUNTIFS(Måned!$A$5:$A$2000,$A29,Måned!$C$5:$C$2000,MONTH(AD$5+3))=0,"",MAX(1,MIN(5,SUMIFS(Måned!$H$5:$H$2000,Måned!$A$5:$A$2000,$A29,Måned!$C$5:$C$2000,MONTH(AD$5+3))+SUMPRODUCT((Vinduer!$A$5:$A$300=$A29)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29" s="19">
        <f>IF($A29="","",IF(COUNTIFS(Måned!$A$5:$A$2000,$A29,Måned!$C$5:$C$2000,MONTH(AE$5+3))=0,"",MAX(1,MIN(5,SUMIFS(Måned!$H$5:$H$2000,Måned!$A$5:$A$2000,$A29,Måned!$C$5:$C$2000,MONTH(AE$5+3))+SUMPRODUCT((Vinduer!$A$5:$A$300=$A29)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29" s="19">
        <f>IF($A29="","",IF(COUNTIFS(Måned!$A$5:$A$2000,$A29,Måned!$C$5:$C$2000,MONTH(AF$5+3))=0,"",MAX(1,MIN(5,SUMIFS(Måned!$H$5:$H$2000,Måned!$A$5:$A$2000,$A29,Måned!$C$5:$C$2000,MONTH(AF$5+3))+SUMPRODUCT((Vinduer!$A$5:$A$300=$A29)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29" s="19">
        <f>IF($A29="","",IF(COUNTIFS(Måned!$A$5:$A$2000,$A29,Måned!$C$5:$C$2000,MONTH(AG$5+3))=0,"",MAX(1,MIN(5,SUMIFS(Måned!$H$5:$H$2000,Måned!$A$5:$A$2000,$A29,Måned!$C$5:$C$2000,MONTH(AG$5+3))+SUMPRODUCT((Vinduer!$A$5:$A$300=$A29)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29" s="19">
        <f>IF($A29="","",IF(COUNTIFS(Måned!$A$5:$A$2000,$A29,Måned!$C$5:$C$2000,MONTH(AH$5+3))=0,"",MAX(1,MIN(5,SUMIFS(Måned!$H$5:$H$2000,Måned!$A$5:$A$2000,$A29,Måned!$C$5:$C$2000,MONTH(AH$5+3))+SUMPRODUCT((Vinduer!$A$5:$A$300=$A29)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29" s="19">
        <f>IF($A29="","",IF(COUNTIFS(Måned!$A$5:$A$2000,$A29,Måned!$C$5:$C$2000,MONTH(AI$5+3))=0,"",MAX(1,MIN(5,SUMIFS(Måned!$H$5:$H$2000,Måned!$A$5:$A$2000,$A29,Måned!$C$5:$C$2000,MONTH(AI$5+3))+SUMPRODUCT((Vinduer!$A$5:$A$300=$A29)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29" s="19">
        <f>IF($A29="","",IF(COUNTIFS(Måned!$A$5:$A$2000,$A29,Måned!$C$5:$C$2000,MONTH(AJ$5+3))=0,"",MAX(1,MIN(5,SUMIFS(Måned!$H$5:$H$2000,Måned!$A$5:$A$2000,$A29,Måned!$C$5:$C$2000,MONTH(AJ$5+3))+SUMPRODUCT((Vinduer!$A$5:$A$300=$A29)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29" s="19">
        <f>IF($A29="","",IF(COUNTIFS(Måned!$A$5:$A$2000,$A29,Måned!$C$5:$C$2000,MONTH(AK$5+3))=0,"",MAX(1,MIN(5,SUMIFS(Måned!$H$5:$H$2000,Måned!$A$5:$A$2000,$A29,Måned!$C$5:$C$2000,MONTH(AK$5+3))+SUMPRODUCT((Vinduer!$A$5:$A$300=$A29)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29" s="19">
        <f>IF($A29="","",IF(COUNTIFS(Måned!$A$5:$A$2000,$A29,Måned!$C$5:$C$2000,MONTH(AL$5+3))=0,"",MAX(1,MIN(5,SUMIFS(Måned!$H$5:$H$2000,Måned!$A$5:$A$2000,$A29,Måned!$C$5:$C$2000,MONTH(AL$5+3))+SUMPRODUCT((Vinduer!$A$5:$A$300=$A29)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29" s="19">
        <f>IF($A29="","",IF(COUNTIFS(Måned!$A$5:$A$2000,$A29,Måned!$C$5:$C$2000,MONTH(AM$5+3))=0,"",MAX(1,MIN(5,SUMIFS(Måned!$H$5:$H$2000,Måned!$A$5:$A$2000,$A29,Måned!$C$5:$C$2000,MONTH(AM$5+3))+SUMPRODUCT((Vinduer!$A$5:$A$300=$A29)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29" s="19">
        <f>IF($A29="","",IF(COUNTIFS(Måned!$A$5:$A$2000,$A29,Måned!$C$5:$C$2000,MONTH(AN$5+3))=0,"",MAX(1,MIN(5,SUMIFS(Måned!$H$5:$H$2000,Måned!$A$5:$A$2000,$A29,Måned!$C$5:$C$2000,MONTH(AN$5+3))+SUMPRODUCT((Vinduer!$A$5:$A$300=$A29)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29" s="19">
        <f>IF($A29="","",IF(COUNTIFS(Måned!$A$5:$A$2000,$A29,Måned!$C$5:$C$2000,MONTH(AO$5+3))=0,"",MAX(1,MIN(5,SUMIFS(Måned!$H$5:$H$2000,Måned!$A$5:$A$2000,$A29,Måned!$C$5:$C$2000,MONTH(AO$5+3))+SUMPRODUCT((Vinduer!$A$5:$A$300=$A29)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29" s="19">
        <f>IF($A29="","",IF(COUNTIFS(Måned!$A$5:$A$2000,$A29,Måned!$C$5:$C$2000,MONTH(AP$5+3))=0,"",MAX(1,MIN(5,SUMIFS(Måned!$H$5:$H$2000,Måned!$A$5:$A$2000,$A29,Måned!$C$5:$C$2000,MONTH(AP$5+3))+SUMPRODUCT((Vinduer!$A$5:$A$300=$A29)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29" s="19">
        <f>IF($A29="","",IF(COUNTIFS(Måned!$A$5:$A$2000,$A29,Måned!$C$5:$C$2000,MONTH(AQ$5+3))=0,"",MAX(1,MIN(5,SUMIFS(Måned!$H$5:$H$2000,Måned!$A$5:$A$2000,$A29,Måned!$C$5:$C$2000,MONTH(AQ$5+3))+SUMPRODUCT((Vinduer!$A$5:$A$300=$A29)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29" s="19">
        <f>IF($A29="","",IF(COUNTIFS(Måned!$A$5:$A$2000,$A29,Måned!$C$5:$C$2000,MONTH(AR$5+3))=0,"",MAX(1,MIN(5,SUMIFS(Måned!$H$5:$H$2000,Måned!$A$5:$A$2000,$A29,Måned!$C$5:$C$2000,MONTH(AR$5+3))+SUMPRODUCT((Vinduer!$A$5:$A$300=$A29)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29" s="19">
        <f>IF($A29="","",IF(COUNTIFS(Måned!$A$5:$A$2000,$A29,Måned!$C$5:$C$2000,MONTH(AS$5+3))=0,"",MAX(1,MIN(5,SUMIFS(Måned!$H$5:$H$2000,Måned!$A$5:$A$2000,$A29,Måned!$C$5:$C$2000,MONTH(AS$5+3))+SUMPRODUCT((Vinduer!$A$5:$A$300=$A29)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29" s="19">
        <f>IF($A29="","",IF(COUNTIFS(Måned!$A$5:$A$2000,$A29,Måned!$C$5:$C$2000,MONTH(AT$5+3))=0,"",MAX(1,MIN(5,SUMIFS(Måned!$H$5:$H$2000,Måned!$A$5:$A$2000,$A29,Måned!$C$5:$C$2000,MONTH(AT$5+3))+SUMPRODUCT((Vinduer!$A$5:$A$300=$A29)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29" s="19">
        <f>IF($A29="","",IF(COUNTIFS(Måned!$A$5:$A$2000,$A29,Måned!$C$5:$C$2000,MONTH(AU$5+3))=0,"",MAX(1,MIN(5,SUMIFS(Måned!$H$5:$H$2000,Måned!$A$5:$A$2000,$A29,Måned!$C$5:$C$2000,MONTH(AU$5+3))+SUMPRODUCT((Vinduer!$A$5:$A$300=$A29)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29" s="19">
        <f>IF($A29="","",IF(COUNTIFS(Måned!$A$5:$A$2000,$A29,Måned!$C$5:$C$2000,MONTH(AV$5+3))=0,"",MAX(1,MIN(5,SUMIFS(Måned!$H$5:$H$2000,Måned!$A$5:$A$2000,$A29,Måned!$C$5:$C$2000,MONTH(AV$5+3))+SUMPRODUCT((Vinduer!$A$5:$A$300=$A29)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29" s="19">
        <f>IF($A29="","",IF(COUNTIFS(Måned!$A$5:$A$2000,$A29,Måned!$C$5:$C$2000,MONTH(AW$5+3))=0,"",MAX(1,MIN(5,SUMIFS(Måned!$H$5:$H$2000,Måned!$A$5:$A$2000,$A29,Måned!$C$5:$C$2000,MONTH(AW$5+3))+SUMPRODUCT((Vinduer!$A$5:$A$300=$A29)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29" s="19">
        <f>IF($A29="","",IF(COUNTIFS(Måned!$A$5:$A$2000,$A29,Måned!$C$5:$C$2000,MONTH(AX$5+3))=0,"",MAX(1,MIN(5,SUMIFS(Måned!$H$5:$H$2000,Måned!$A$5:$A$2000,$A29,Måned!$C$5:$C$2000,MONTH(AX$5+3))+SUMPRODUCT((Vinduer!$A$5:$A$300=$A29)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29" s="19">
        <f>IF($A29="","",IF(COUNTIFS(Måned!$A$5:$A$2000,$A29,Måned!$C$5:$C$2000,MONTH(AY$5+3))=0,"",MAX(1,MIN(5,SUMIFS(Måned!$H$5:$H$2000,Måned!$A$5:$A$2000,$A29,Måned!$C$5:$C$2000,MONTH(AY$5+3))+SUMPRODUCT((Vinduer!$A$5:$A$300=$A29)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29" s="19">
        <f>IF($A29="","",IF(COUNTIFS(Måned!$A$5:$A$2000,$A29,Måned!$C$5:$C$2000,MONTH(AZ$5+3))=0,"",MAX(1,MIN(5,SUMIFS(Måned!$H$5:$H$2000,Måned!$A$5:$A$2000,$A29,Måned!$C$5:$C$2000,MONTH(AZ$5+3))+SUMPRODUCT((Vinduer!$A$5:$A$300=$A29)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29" s="19">
        <f>IF($A29="","",IF(COUNTIFS(Måned!$A$5:$A$2000,$A29,Måned!$C$5:$C$2000,MONTH(BA$5+3))=0,"",MAX(1,MIN(5,SUMIFS(Måned!$H$5:$H$2000,Måned!$A$5:$A$2000,$A29,Måned!$C$5:$C$2000,MONTH(BA$5+3))+SUMPRODUCT((Vinduer!$A$5:$A$300=$A29)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29" s="19">
        <f>IF($A29="","",IF(COUNTIFS(Måned!$A$5:$A$2000,$A29,Måned!$C$5:$C$2000,MONTH(BB$5+3))=0,"",MAX(1,MIN(5,SUMIFS(Måned!$H$5:$H$2000,Måned!$A$5:$A$2000,$A29,Måned!$C$5:$C$2000,MONTH(BB$5+3))+SUMPRODUCT((Vinduer!$A$5:$A$300=$A29)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29" s="19">
        <f>IF($A29="","",IF(COUNTIFS(Måned!$A$5:$A$2000,$A29,Måned!$C$5:$C$2000,MONTH(BC$5+3))=0,"",MAX(1,MIN(5,SUMIFS(Måned!$H$5:$H$2000,Måned!$A$5:$A$2000,$A29,Måned!$C$5:$C$2000,MONTH(BC$5+3))+SUMPRODUCT((Vinduer!$A$5:$A$300=$A29)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29" s="19">
        <f>IF($A29="","",IF(COUNTIFS(Måned!$A$5:$A$2000,$A29,Måned!$C$5:$C$2000,MONTH(BD$5+3))=0,"",MAX(1,MIN(5,SUMIFS(Måned!$H$5:$H$2000,Måned!$A$5:$A$2000,$A29,Måned!$C$5:$C$2000,MONTH(BD$5+3))+SUMPRODUCT((Vinduer!$A$5:$A$300=$A29)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29" s="19">
        <f>IF($A29="","",IF(COUNTIFS(Måned!$A$5:$A$2000,$A29,Måned!$C$5:$C$2000,MONTH(BE$5+3))=0,"",MAX(1,MIN(5,SUMIFS(Måned!$H$5:$H$2000,Måned!$A$5:$A$2000,$A29,Måned!$C$5:$C$2000,MONTH(BE$5+3))+SUMPRODUCT((Vinduer!$A$5:$A$300=$A29)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0">
      <c r="A30" s="5">
        <f>IF(Destinasjoner!A26="","",Destinasjoner!A26)</f>
        <v/>
      </c>
      <c r="B30" s="5">
        <f>IF(A30="","",Destinasjoner!E26)</f>
        <v/>
      </c>
      <c r="C30" s="5">
        <f>IF(A30="","",Destinasjoner!B26)</f>
        <v/>
      </c>
      <c r="D30" s="17">
        <f>IFERROR(SUMIFS(F30:BE30,$F$7:$BE$7,"x")/COUNTIFS($F$7:$BE$7,"x",F30:BE30,"&gt;0"),"")</f>
        <v/>
      </c>
      <c r="E30" s="18">
        <f>IF(D30="","",_xlfn.MINIFS(F30:BE30,$F$7:$BE$7,"x",F30:BE30,"&gt;0"))</f>
        <v/>
      </c>
      <c r="F30" s="19">
        <f>IF($A30="","",IF(COUNTIFS(Måned!$A$5:$A$2000,$A30,Måned!$C$5:$C$2000,MONTH(F$5+3))=0,"",MAX(1,MIN(5,SUMIFS(Måned!$H$5:$H$2000,Måned!$A$5:$A$2000,$A30,Måned!$C$5:$C$2000,MONTH(F$5+3))+SUMPRODUCT((Vinduer!$A$5:$A$300=$A30)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0" s="19">
        <f>IF($A30="","",IF(COUNTIFS(Måned!$A$5:$A$2000,$A30,Måned!$C$5:$C$2000,MONTH(G$5+3))=0,"",MAX(1,MIN(5,SUMIFS(Måned!$H$5:$H$2000,Måned!$A$5:$A$2000,$A30,Måned!$C$5:$C$2000,MONTH(G$5+3))+SUMPRODUCT((Vinduer!$A$5:$A$300=$A30)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0" s="19">
        <f>IF($A30="","",IF(COUNTIFS(Måned!$A$5:$A$2000,$A30,Måned!$C$5:$C$2000,MONTH(H$5+3))=0,"",MAX(1,MIN(5,SUMIFS(Måned!$H$5:$H$2000,Måned!$A$5:$A$2000,$A30,Måned!$C$5:$C$2000,MONTH(H$5+3))+SUMPRODUCT((Vinduer!$A$5:$A$300=$A30)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0" s="19">
        <f>IF($A30="","",IF(COUNTIFS(Måned!$A$5:$A$2000,$A30,Måned!$C$5:$C$2000,MONTH(I$5+3))=0,"",MAX(1,MIN(5,SUMIFS(Måned!$H$5:$H$2000,Måned!$A$5:$A$2000,$A30,Måned!$C$5:$C$2000,MONTH(I$5+3))+SUMPRODUCT((Vinduer!$A$5:$A$300=$A30)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0" s="19">
        <f>IF($A30="","",IF(COUNTIFS(Måned!$A$5:$A$2000,$A30,Måned!$C$5:$C$2000,MONTH(J$5+3))=0,"",MAX(1,MIN(5,SUMIFS(Måned!$H$5:$H$2000,Måned!$A$5:$A$2000,$A30,Måned!$C$5:$C$2000,MONTH(J$5+3))+SUMPRODUCT((Vinduer!$A$5:$A$300=$A30)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0" s="19">
        <f>IF($A30="","",IF(COUNTIFS(Måned!$A$5:$A$2000,$A30,Måned!$C$5:$C$2000,MONTH(K$5+3))=0,"",MAX(1,MIN(5,SUMIFS(Måned!$H$5:$H$2000,Måned!$A$5:$A$2000,$A30,Måned!$C$5:$C$2000,MONTH(K$5+3))+SUMPRODUCT((Vinduer!$A$5:$A$300=$A30)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0" s="19">
        <f>IF($A30="","",IF(COUNTIFS(Måned!$A$5:$A$2000,$A30,Måned!$C$5:$C$2000,MONTH(L$5+3))=0,"",MAX(1,MIN(5,SUMIFS(Måned!$H$5:$H$2000,Måned!$A$5:$A$2000,$A30,Måned!$C$5:$C$2000,MONTH(L$5+3))+SUMPRODUCT((Vinduer!$A$5:$A$300=$A30)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0" s="19">
        <f>IF($A30="","",IF(COUNTIFS(Måned!$A$5:$A$2000,$A30,Måned!$C$5:$C$2000,MONTH(M$5+3))=0,"",MAX(1,MIN(5,SUMIFS(Måned!$H$5:$H$2000,Måned!$A$5:$A$2000,$A30,Måned!$C$5:$C$2000,MONTH(M$5+3))+SUMPRODUCT((Vinduer!$A$5:$A$300=$A30)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0" s="19">
        <f>IF($A30="","",IF(COUNTIFS(Måned!$A$5:$A$2000,$A30,Måned!$C$5:$C$2000,MONTH(N$5+3))=0,"",MAX(1,MIN(5,SUMIFS(Måned!$H$5:$H$2000,Måned!$A$5:$A$2000,$A30,Måned!$C$5:$C$2000,MONTH(N$5+3))+SUMPRODUCT((Vinduer!$A$5:$A$300=$A30)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0" s="19">
        <f>IF($A30="","",IF(COUNTIFS(Måned!$A$5:$A$2000,$A30,Måned!$C$5:$C$2000,MONTH(O$5+3))=0,"",MAX(1,MIN(5,SUMIFS(Måned!$H$5:$H$2000,Måned!$A$5:$A$2000,$A30,Måned!$C$5:$C$2000,MONTH(O$5+3))+SUMPRODUCT((Vinduer!$A$5:$A$300=$A30)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0" s="19">
        <f>IF($A30="","",IF(COUNTIFS(Måned!$A$5:$A$2000,$A30,Måned!$C$5:$C$2000,MONTH(P$5+3))=0,"",MAX(1,MIN(5,SUMIFS(Måned!$H$5:$H$2000,Måned!$A$5:$A$2000,$A30,Måned!$C$5:$C$2000,MONTH(P$5+3))+SUMPRODUCT((Vinduer!$A$5:$A$300=$A30)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0" s="19">
        <f>IF($A30="","",IF(COUNTIFS(Måned!$A$5:$A$2000,$A30,Måned!$C$5:$C$2000,MONTH(Q$5+3))=0,"",MAX(1,MIN(5,SUMIFS(Måned!$H$5:$H$2000,Måned!$A$5:$A$2000,$A30,Måned!$C$5:$C$2000,MONTH(Q$5+3))+SUMPRODUCT((Vinduer!$A$5:$A$300=$A30)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0" s="19">
        <f>IF($A30="","",IF(COUNTIFS(Måned!$A$5:$A$2000,$A30,Måned!$C$5:$C$2000,MONTH(R$5+3))=0,"",MAX(1,MIN(5,SUMIFS(Måned!$H$5:$H$2000,Måned!$A$5:$A$2000,$A30,Måned!$C$5:$C$2000,MONTH(R$5+3))+SUMPRODUCT((Vinduer!$A$5:$A$300=$A30)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0" s="19">
        <f>IF($A30="","",IF(COUNTIFS(Måned!$A$5:$A$2000,$A30,Måned!$C$5:$C$2000,MONTH(S$5+3))=0,"",MAX(1,MIN(5,SUMIFS(Måned!$H$5:$H$2000,Måned!$A$5:$A$2000,$A30,Måned!$C$5:$C$2000,MONTH(S$5+3))+SUMPRODUCT((Vinduer!$A$5:$A$300=$A30)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0" s="19">
        <f>IF($A30="","",IF(COUNTIFS(Måned!$A$5:$A$2000,$A30,Måned!$C$5:$C$2000,MONTH(T$5+3))=0,"",MAX(1,MIN(5,SUMIFS(Måned!$H$5:$H$2000,Måned!$A$5:$A$2000,$A30,Måned!$C$5:$C$2000,MONTH(T$5+3))+SUMPRODUCT((Vinduer!$A$5:$A$300=$A30)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0" s="19">
        <f>IF($A30="","",IF(COUNTIFS(Måned!$A$5:$A$2000,$A30,Måned!$C$5:$C$2000,MONTH(U$5+3))=0,"",MAX(1,MIN(5,SUMIFS(Måned!$H$5:$H$2000,Måned!$A$5:$A$2000,$A30,Måned!$C$5:$C$2000,MONTH(U$5+3))+SUMPRODUCT((Vinduer!$A$5:$A$300=$A30)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0" s="19">
        <f>IF($A30="","",IF(COUNTIFS(Måned!$A$5:$A$2000,$A30,Måned!$C$5:$C$2000,MONTH(V$5+3))=0,"",MAX(1,MIN(5,SUMIFS(Måned!$H$5:$H$2000,Måned!$A$5:$A$2000,$A30,Måned!$C$5:$C$2000,MONTH(V$5+3))+SUMPRODUCT((Vinduer!$A$5:$A$300=$A30)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0" s="19">
        <f>IF($A30="","",IF(COUNTIFS(Måned!$A$5:$A$2000,$A30,Måned!$C$5:$C$2000,MONTH(W$5+3))=0,"",MAX(1,MIN(5,SUMIFS(Måned!$H$5:$H$2000,Måned!$A$5:$A$2000,$A30,Måned!$C$5:$C$2000,MONTH(W$5+3))+SUMPRODUCT((Vinduer!$A$5:$A$300=$A30)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0" s="19">
        <f>IF($A30="","",IF(COUNTIFS(Måned!$A$5:$A$2000,$A30,Måned!$C$5:$C$2000,MONTH(X$5+3))=0,"",MAX(1,MIN(5,SUMIFS(Måned!$H$5:$H$2000,Måned!$A$5:$A$2000,$A30,Måned!$C$5:$C$2000,MONTH(X$5+3))+SUMPRODUCT((Vinduer!$A$5:$A$300=$A30)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0" s="19">
        <f>IF($A30="","",IF(COUNTIFS(Måned!$A$5:$A$2000,$A30,Måned!$C$5:$C$2000,MONTH(Y$5+3))=0,"",MAX(1,MIN(5,SUMIFS(Måned!$H$5:$H$2000,Måned!$A$5:$A$2000,$A30,Måned!$C$5:$C$2000,MONTH(Y$5+3))+SUMPRODUCT((Vinduer!$A$5:$A$300=$A30)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0" s="19">
        <f>IF($A30="","",IF(COUNTIFS(Måned!$A$5:$A$2000,$A30,Måned!$C$5:$C$2000,MONTH(Z$5+3))=0,"",MAX(1,MIN(5,SUMIFS(Måned!$H$5:$H$2000,Måned!$A$5:$A$2000,$A30,Måned!$C$5:$C$2000,MONTH(Z$5+3))+SUMPRODUCT((Vinduer!$A$5:$A$300=$A30)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0" s="19">
        <f>IF($A30="","",IF(COUNTIFS(Måned!$A$5:$A$2000,$A30,Måned!$C$5:$C$2000,MONTH(AA$5+3))=0,"",MAX(1,MIN(5,SUMIFS(Måned!$H$5:$H$2000,Måned!$A$5:$A$2000,$A30,Måned!$C$5:$C$2000,MONTH(AA$5+3))+SUMPRODUCT((Vinduer!$A$5:$A$300=$A30)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0" s="19">
        <f>IF($A30="","",IF(COUNTIFS(Måned!$A$5:$A$2000,$A30,Måned!$C$5:$C$2000,MONTH(AB$5+3))=0,"",MAX(1,MIN(5,SUMIFS(Måned!$H$5:$H$2000,Måned!$A$5:$A$2000,$A30,Måned!$C$5:$C$2000,MONTH(AB$5+3))+SUMPRODUCT((Vinduer!$A$5:$A$300=$A30)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0" s="19">
        <f>IF($A30="","",IF(COUNTIFS(Måned!$A$5:$A$2000,$A30,Måned!$C$5:$C$2000,MONTH(AC$5+3))=0,"",MAX(1,MIN(5,SUMIFS(Måned!$H$5:$H$2000,Måned!$A$5:$A$2000,$A30,Måned!$C$5:$C$2000,MONTH(AC$5+3))+SUMPRODUCT((Vinduer!$A$5:$A$300=$A30)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0" s="19">
        <f>IF($A30="","",IF(COUNTIFS(Måned!$A$5:$A$2000,$A30,Måned!$C$5:$C$2000,MONTH(AD$5+3))=0,"",MAX(1,MIN(5,SUMIFS(Måned!$H$5:$H$2000,Måned!$A$5:$A$2000,$A30,Måned!$C$5:$C$2000,MONTH(AD$5+3))+SUMPRODUCT((Vinduer!$A$5:$A$300=$A30)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0" s="19">
        <f>IF($A30="","",IF(COUNTIFS(Måned!$A$5:$A$2000,$A30,Måned!$C$5:$C$2000,MONTH(AE$5+3))=0,"",MAX(1,MIN(5,SUMIFS(Måned!$H$5:$H$2000,Måned!$A$5:$A$2000,$A30,Måned!$C$5:$C$2000,MONTH(AE$5+3))+SUMPRODUCT((Vinduer!$A$5:$A$300=$A30)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0" s="19">
        <f>IF($A30="","",IF(COUNTIFS(Måned!$A$5:$A$2000,$A30,Måned!$C$5:$C$2000,MONTH(AF$5+3))=0,"",MAX(1,MIN(5,SUMIFS(Måned!$H$5:$H$2000,Måned!$A$5:$A$2000,$A30,Måned!$C$5:$C$2000,MONTH(AF$5+3))+SUMPRODUCT((Vinduer!$A$5:$A$300=$A30)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0" s="19">
        <f>IF($A30="","",IF(COUNTIFS(Måned!$A$5:$A$2000,$A30,Måned!$C$5:$C$2000,MONTH(AG$5+3))=0,"",MAX(1,MIN(5,SUMIFS(Måned!$H$5:$H$2000,Måned!$A$5:$A$2000,$A30,Måned!$C$5:$C$2000,MONTH(AG$5+3))+SUMPRODUCT((Vinduer!$A$5:$A$300=$A30)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0" s="19">
        <f>IF($A30="","",IF(COUNTIFS(Måned!$A$5:$A$2000,$A30,Måned!$C$5:$C$2000,MONTH(AH$5+3))=0,"",MAX(1,MIN(5,SUMIFS(Måned!$H$5:$H$2000,Måned!$A$5:$A$2000,$A30,Måned!$C$5:$C$2000,MONTH(AH$5+3))+SUMPRODUCT((Vinduer!$A$5:$A$300=$A30)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0" s="19">
        <f>IF($A30="","",IF(COUNTIFS(Måned!$A$5:$A$2000,$A30,Måned!$C$5:$C$2000,MONTH(AI$5+3))=0,"",MAX(1,MIN(5,SUMIFS(Måned!$H$5:$H$2000,Måned!$A$5:$A$2000,$A30,Måned!$C$5:$C$2000,MONTH(AI$5+3))+SUMPRODUCT((Vinduer!$A$5:$A$300=$A30)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0" s="19">
        <f>IF($A30="","",IF(COUNTIFS(Måned!$A$5:$A$2000,$A30,Måned!$C$5:$C$2000,MONTH(AJ$5+3))=0,"",MAX(1,MIN(5,SUMIFS(Måned!$H$5:$H$2000,Måned!$A$5:$A$2000,$A30,Måned!$C$5:$C$2000,MONTH(AJ$5+3))+SUMPRODUCT((Vinduer!$A$5:$A$300=$A30)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0" s="19">
        <f>IF($A30="","",IF(COUNTIFS(Måned!$A$5:$A$2000,$A30,Måned!$C$5:$C$2000,MONTH(AK$5+3))=0,"",MAX(1,MIN(5,SUMIFS(Måned!$H$5:$H$2000,Måned!$A$5:$A$2000,$A30,Måned!$C$5:$C$2000,MONTH(AK$5+3))+SUMPRODUCT((Vinduer!$A$5:$A$300=$A30)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0" s="19">
        <f>IF($A30="","",IF(COUNTIFS(Måned!$A$5:$A$2000,$A30,Måned!$C$5:$C$2000,MONTH(AL$5+3))=0,"",MAX(1,MIN(5,SUMIFS(Måned!$H$5:$H$2000,Måned!$A$5:$A$2000,$A30,Måned!$C$5:$C$2000,MONTH(AL$5+3))+SUMPRODUCT((Vinduer!$A$5:$A$300=$A30)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0" s="19">
        <f>IF($A30="","",IF(COUNTIFS(Måned!$A$5:$A$2000,$A30,Måned!$C$5:$C$2000,MONTH(AM$5+3))=0,"",MAX(1,MIN(5,SUMIFS(Måned!$H$5:$H$2000,Måned!$A$5:$A$2000,$A30,Måned!$C$5:$C$2000,MONTH(AM$5+3))+SUMPRODUCT((Vinduer!$A$5:$A$300=$A30)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0" s="19">
        <f>IF($A30="","",IF(COUNTIFS(Måned!$A$5:$A$2000,$A30,Måned!$C$5:$C$2000,MONTH(AN$5+3))=0,"",MAX(1,MIN(5,SUMIFS(Måned!$H$5:$H$2000,Måned!$A$5:$A$2000,$A30,Måned!$C$5:$C$2000,MONTH(AN$5+3))+SUMPRODUCT((Vinduer!$A$5:$A$300=$A30)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0" s="19">
        <f>IF($A30="","",IF(COUNTIFS(Måned!$A$5:$A$2000,$A30,Måned!$C$5:$C$2000,MONTH(AO$5+3))=0,"",MAX(1,MIN(5,SUMIFS(Måned!$H$5:$H$2000,Måned!$A$5:$A$2000,$A30,Måned!$C$5:$C$2000,MONTH(AO$5+3))+SUMPRODUCT((Vinduer!$A$5:$A$300=$A30)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0" s="19">
        <f>IF($A30="","",IF(COUNTIFS(Måned!$A$5:$A$2000,$A30,Måned!$C$5:$C$2000,MONTH(AP$5+3))=0,"",MAX(1,MIN(5,SUMIFS(Måned!$H$5:$H$2000,Måned!$A$5:$A$2000,$A30,Måned!$C$5:$C$2000,MONTH(AP$5+3))+SUMPRODUCT((Vinduer!$A$5:$A$300=$A30)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0" s="19">
        <f>IF($A30="","",IF(COUNTIFS(Måned!$A$5:$A$2000,$A30,Måned!$C$5:$C$2000,MONTH(AQ$5+3))=0,"",MAX(1,MIN(5,SUMIFS(Måned!$H$5:$H$2000,Måned!$A$5:$A$2000,$A30,Måned!$C$5:$C$2000,MONTH(AQ$5+3))+SUMPRODUCT((Vinduer!$A$5:$A$300=$A30)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0" s="19">
        <f>IF($A30="","",IF(COUNTIFS(Måned!$A$5:$A$2000,$A30,Måned!$C$5:$C$2000,MONTH(AR$5+3))=0,"",MAX(1,MIN(5,SUMIFS(Måned!$H$5:$H$2000,Måned!$A$5:$A$2000,$A30,Måned!$C$5:$C$2000,MONTH(AR$5+3))+SUMPRODUCT((Vinduer!$A$5:$A$300=$A30)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0" s="19">
        <f>IF($A30="","",IF(COUNTIFS(Måned!$A$5:$A$2000,$A30,Måned!$C$5:$C$2000,MONTH(AS$5+3))=0,"",MAX(1,MIN(5,SUMIFS(Måned!$H$5:$H$2000,Måned!$A$5:$A$2000,$A30,Måned!$C$5:$C$2000,MONTH(AS$5+3))+SUMPRODUCT((Vinduer!$A$5:$A$300=$A30)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0" s="19">
        <f>IF($A30="","",IF(COUNTIFS(Måned!$A$5:$A$2000,$A30,Måned!$C$5:$C$2000,MONTH(AT$5+3))=0,"",MAX(1,MIN(5,SUMIFS(Måned!$H$5:$H$2000,Måned!$A$5:$A$2000,$A30,Måned!$C$5:$C$2000,MONTH(AT$5+3))+SUMPRODUCT((Vinduer!$A$5:$A$300=$A30)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0" s="19">
        <f>IF($A30="","",IF(COUNTIFS(Måned!$A$5:$A$2000,$A30,Måned!$C$5:$C$2000,MONTH(AU$5+3))=0,"",MAX(1,MIN(5,SUMIFS(Måned!$H$5:$H$2000,Måned!$A$5:$A$2000,$A30,Måned!$C$5:$C$2000,MONTH(AU$5+3))+SUMPRODUCT((Vinduer!$A$5:$A$300=$A30)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0" s="19">
        <f>IF($A30="","",IF(COUNTIFS(Måned!$A$5:$A$2000,$A30,Måned!$C$5:$C$2000,MONTH(AV$5+3))=0,"",MAX(1,MIN(5,SUMIFS(Måned!$H$5:$H$2000,Måned!$A$5:$A$2000,$A30,Måned!$C$5:$C$2000,MONTH(AV$5+3))+SUMPRODUCT((Vinduer!$A$5:$A$300=$A30)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0" s="19">
        <f>IF($A30="","",IF(COUNTIFS(Måned!$A$5:$A$2000,$A30,Måned!$C$5:$C$2000,MONTH(AW$5+3))=0,"",MAX(1,MIN(5,SUMIFS(Måned!$H$5:$H$2000,Måned!$A$5:$A$2000,$A30,Måned!$C$5:$C$2000,MONTH(AW$5+3))+SUMPRODUCT((Vinduer!$A$5:$A$300=$A30)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0" s="19">
        <f>IF($A30="","",IF(COUNTIFS(Måned!$A$5:$A$2000,$A30,Måned!$C$5:$C$2000,MONTH(AX$5+3))=0,"",MAX(1,MIN(5,SUMIFS(Måned!$H$5:$H$2000,Måned!$A$5:$A$2000,$A30,Måned!$C$5:$C$2000,MONTH(AX$5+3))+SUMPRODUCT((Vinduer!$A$5:$A$300=$A30)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0" s="19">
        <f>IF($A30="","",IF(COUNTIFS(Måned!$A$5:$A$2000,$A30,Måned!$C$5:$C$2000,MONTH(AY$5+3))=0,"",MAX(1,MIN(5,SUMIFS(Måned!$H$5:$H$2000,Måned!$A$5:$A$2000,$A30,Måned!$C$5:$C$2000,MONTH(AY$5+3))+SUMPRODUCT((Vinduer!$A$5:$A$300=$A30)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0" s="19">
        <f>IF($A30="","",IF(COUNTIFS(Måned!$A$5:$A$2000,$A30,Måned!$C$5:$C$2000,MONTH(AZ$5+3))=0,"",MAX(1,MIN(5,SUMIFS(Måned!$H$5:$H$2000,Måned!$A$5:$A$2000,$A30,Måned!$C$5:$C$2000,MONTH(AZ$5+3))+SUMPRODUCT((Vinduer!$A$5:$A$300=$A30)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0" s="19">
        <f>IF($A30="","",IF(COUNTIFS(Måned!$A$5:$A$2000,$A30,Måned!$C$5:$C$2000,MONTH(BA$5+3))=0,"",MAX(1,MIN(5,SUMIFS(Måned!$H$5:$H$2000,Måned!$A$5:$A$2000,$A30,Måned!$C$5:$C$2000,MONTH(BA$5+3))+SUMPRODUCT((Vinduer!$A$5:$A$300=$A30)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0" s="19">
        <f>IF($A30="","",IF(COUNTIFS(Måned!$A$5:$A$2000,$A30,Måned!$C$5:$C$2000,MONTH(BB$5+3))=0,"",MAX(1,MIN(5,SUMIFS(Måned!$H$5:$H$2000,Måned!$A$5:$A$2000,$A30,Måned!$C$5:$C$2000,MONTH(BB$5+3))+SUMPRODUCT((Vinduer!$A$5:$A$300=$A30)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0" s="19">
        <f>IF($A30="","",IF(COUNTIFS(Måned!$A$5:$A$2000,$A30,Måned!$C$5:$C$2000,MONTH(BC$5+3))=0,"",MAX(1,MIN(5,SUMIFS(Måned!$H$5:$H$2000,Måned!$A$5:$A$2000,$A30,Måned!$C$5:$C$2000,MONTH(BC$5+3))+SUMPRODUCT((Vinduer!$A$5:$A$300=$A30)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0" s="19">
        <f>IF($A30="","",IF(COUNTIFS(Måned!$A$5:$A$2000,$A30,Måned!$C$5:$C$2000,MONTH(BD$5+3))=0,"",MAX(1,MIN(5,SUMIFS(Måned!$H$5:$H$2000,Måned!$A$5:$A$2000,$A30,Måned!$C$5:$C$2000,MONTH(BD$5+3))+SUMPRODUCT((Vinduer!$A$5:$A$300=$A30)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0" s="19">
        <f>IF($A30="","",IF(COUNTIFS(Måned!$A$5:$A$2000,$A30,Måned!$C$5:$C$2000,MONTH(BE$5+3))=0,"",MAX(1,MIN(5,SUMIFS(Måned!$H$5:$H$2000,Måned!$A$5:$A$2000,$A30,Måned!$C$5:$C$2000,MONTH(BE$5+3))+SUMPRODUCT((Vinduer!$A$5:$A$300=$A30)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1">
      <c r="A31" s="5">
        <f>IF(Destinasjoner!A27="","",Destinasjoner!A27)</f>
        <v/>
      </c>
      <c r="B31" s="5">
        <f>IF(A31="","",Destinasjoner!E27)</f>
        <v/>
      </c>
      <c r="C31" s="5">
        <f>IF(A31="","",Destinasjoner!B27)</f>
        <v/>
      </c>
      <c r="D31" s="17">
        <f>IFERROR(SUMIFS(F31:BE31,$F$7:$BE$7,"x")/COUNTIFS($F$7:$BE$7,"x",F31:BE31,"&gt;0"),"")</f>
        <v/>
      </c>
      <c r="E31" s="18">
        <f>IF(D31="","",_xlfn.MINIFS(F31:BE31,$F$7:$BE$7,"x",F31:BE31,"&gt;0"))</f>
        <v/>
      </c>
      <c r="F31" s="19">
        <f>IF($A31="","",IF(COUNTIFS(Måned!$A$5:$A$2000,$A31,Måned!$C$5:$C$2000,MONTH(F$5+3))=0,"",MAX(1,MIN(5,SUMIFS(Måned!$H$5:$H$2000,Måned!$A$5:$A$2000,$A31,Måned!$C$5:$C$2000,MONTH(F$5+3))+SUMPRODUCT((Vinduer!$A$5:$A$300=$A31)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1" s="19">
        <f>IF($A31="","",IF(COUNTIFS(Måned!$A$5:$A$2000,$A31,Måned!$C$5:$C$2000,MONTH(G$5+3))=0,"",MAX(1,MIN(5,SUMIFS(Måned!$H$5:$H$2000,Måned!$A$5:$A$2000,$A31,Måned!$C$5:$C$2000,MONTH(G$5+3))+SUMPRODUCT((Vinduer!$A$5:$A$300=$A31)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1" s="19">
        <f>IF($A31="","",IF(COUNTIFS(Måned!$A$5:$A$2000,$A31,Måned!$C$5:$C$2000,MONTH(H$5+3))=0,"",MAX(1,MIN(5,SUMIFS(Måned!$H$5:$H$2000,Måned!$A$5:$A$2000,$A31,Måned!$C$5:$C$2000,MONTH(H$5+3))+SUMPRODUCT((Vinduer!$A$5:$A$300=$A31)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1" s="19">
        <f>IF($A31="","",IF(COUNTIFS(Måned!$A$5:$A$2000,$A31,Måned!$C$5:$C$2000,MONTH(I$5+3))=0,"",MAX(1,MIN(5,SUMIFS(Måned!$H$5:$H$2000,Måned!$A$5:$A$2000,$A31,Måned!$C$5:$C$2000,MONTH(I$5+3))+SUMPRODUCT((Vinduer!$A$5:$A$300=$A31)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1" s="19">
        <f>IF($A31="","",IF(COUNTIFS(Måned!$A$5:$A$2000,$A31,Måned!$C$5:$C$2000,MONTH(J$5+3))=0,"",MAX(1,MIN(5,SUMIFS(Måned!$H$5:$H$2000,Måned!$A$5:$A$2000,$A31,Måned!$C$5:$C$2000,MONTH(J$5+3))+SUMPRODUCT((Vinduer!$A$5:$A$300=$A31)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1" s="19">
        <f>IF($A31="","",IF(COUNTIFS(Måned!$A$5:$A$2000,$A31,Måned!$C$5:$C$2000,MONTH(K$5+3))=0,"",MAX(1,MIN(5,SUMIFS(Måned!$H$5:$H$2000,Måned!$A$5:$A$2000,$A31,Måned!$C$5:$C$2000,MONTH(K$5+3))+SUMPRODUCT((Vinduer!$A$5:$A$300=$A31)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1" s="19">
        <f>IF($A31="","",IF(COUNTIFS(Måned!$A$5:$A$2000,$A31,Måned!$C$5:$C$2000,MONTH(L$5+3))=0,"",MAX(1,MIN(5,SUMIFS(Måned!$H$5:$H$2000,Måned!$A$5:$A$2000,$A31,Måned!$C$5:$C$2000,MONTH(L$5+3))+SUMPRODUCT((Vinduer!$A$5:$A$300=$A31)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1" s="19">
        <f>IF($A31="","",IF(COUNTIFS(Måned!$A$5:$A$2000,$A31,Måned!$C$5:$C$2000,MONTH(M$5+3))=0,"",MAX(1,MIN(5,SUMIFS(Måned!$H$5:$H$2000,Måned!$A$5:$A$2000,$A31,Måned!$C$5:$C$2000,MONTH(M$5+3))+SUMPRODUCT((Vinduer!$A$5:$A$300=$A31)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1" s="19">
        <f>IF($A31="","",IF(COUNTIFS(Måned!$A$5:$A$2000,$A31,Måned!$C$5:$C$2000,MONTH(N$5+3))=0,"",MAX(1,MIN(5,SUMIFS(Måned!$H$5:$H$2000,Måned!$A$5:$A$2000,$A31,Måned!$C$5:$C$2000,MONTH(N$5+3))+SUMPRODUCT((Vinduer!$A$5:$A$300=$A31)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1" s="19">
        <f>IF($A31="","",IF(COUNTIFS(Måned!$A$5:$A$2000,$A31,Måned!$C$5:$C$2000,MONTH(O$5+3))=0,"",MAX(1,MIN(5,SUMIFS(Måned!$H$5:$H$2000,Måned!$A$5:$A$2000,$A31,Måned!$C$5:$C$2000,MONTH(O$5+3))+SUMPRODUCT((Vinduer!$A$5:$A$300=$A31)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1" s="19">
        <f>IF($A31="","",IF(COUNTIFS(Måned!$A$5:$A$2000,$A31,Måned!$C$5:$C$2000,MONTH(P$5+3))=0,"",MAX(1,MIN(5,SUMIFS(Måned!$H$5:$H$2000,Måned!$A$5:$A$2000,$A31,Måned!$C$5:$C$2000,MONTH(P$5+3))+SUMPRODUCT((Vinduer!$A$5:$A$300=$A31)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1" s="19">
        <f>IF($A31="","",IF(COUNTIFS(Måned!$A$5:$A$2000,$A31,Måned!$C$5:$C$2000,MONTH(Q$5+3))=0,"",MAX(1,MIN(5,SUMIFS(Måned!$H$5:$H$2000,Måned!$A$5:$A$2000,$A31,Måned!$C$5:$C$2000,MONTH(Q$5+3))+SUMPRODUCT((Vinduer!$A$5:$A$300=$A31)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1" s="19">
        <f>IF($A31="","",IF(COUNTIFS(Måned!$A$5:$A$2000,$A31,Måned!$C$5:$C$2000,MONTH(R$5+3))=0,"",MAX(1,MIN(5,SUMIFS(Måned!$H$5:$H$2000,Måned!$A$5:$A$2000,$A31,Måned!$C$5:$C$2000,MONTH(R$5+3))+SUMPRODUCT((Vinduer!$A$5:$A$300=$A31)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1" s="19">
        <f>IF($A31="","",IF(COUNTIFS(Måned!$A$5:$A$2000,$A31,Måned!$C$5:$C$2000,MONTH(S$5+3))=0,"",MAX(1,MIN(5,SUMIFS(Måned!$H$5:$H$2000,Måned!$A$5:$A$2000,$A31,Måned!$C$5:$C$2000,MONTH(S$5+3))+SUMPRODUCT((Vinduer!$A$5:$A$300=$A31)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1" s="19">
        <f>IF($A31="","",IF(COUNTIFS(Måned!$A$5:$A$2000,$A31,Måned!$C$5:$C$2000,MONTH(T$5+3))=0,"",MAX(1,MIN(5,SUMIFS(Måned!$H$5:$H$2000,Måned!$A$5:$A$2000,$A31,Måned!$C$5:$C$2000,MONTH(T$5+3))+SUMPRODUCT((Vinduer!$A$5:$A$300=$A31)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1" s="19">
        <f>IF($A31="","",IF(COUNTIFS(Måned!$A$5:$A$2000,$A31,Måned!$C$5:$C$2000,MONTH(U$5+3))=0,"",MAX(1,MIN(5,SUMIFS(Måned!$H$5:$H$2000,Måned!$A$5:$A$2000,$A31,Måned!$C$5:$C$2000,MONTH(U$5+3))+SUMPRODUCT((Vinduer!$A$5:$A$300=$A31)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1" s="19">
        <f>IF($A31="","",IF(COUNTIFS(Måned!$A$5:$A$2000,$A31,Måned!$C$5:$C$2000,MONTH(V$5+3))=0,"",MAX(1,MIN(5,SUMIFS(Måned!$H$5:$H$2000,Måned!$A$5:$A$2000,$A31,Måned!$C$5:$C$2000,MONTH(V$5+3))+SUMPRODUCT((Vinduer!$A$5:$A$300=$A31)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1" s="19">
        <f>IF($A31="","",IF(COUNTIFS(Måned!$A$5:$A$2000,$A31,Måned!$C$5:$C$2000,MONTH(W$5+3))=0,"",MAX(1,MIN(5,SUMIFS(Måned!$H$5:$H$2000,Måned!$A$5:$A$2000,$A31,Måned!$C$5:$C$2000,MONTH(W$5+3))+SUMPRODUCT((Vinduer!$A$5:$A$300=$A31)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1" s="19">
        <f>IF($A31="","",IF(COUNTIFS(Måned!$A$5:$A$2000,$A31,Måned!$C$5:$C$2000,MONTH(X$5+3))=0,"",MAX(1,MIN(5,SUMIFS(Måned!$H$5:$H$2000,Måned!$A$5:$A$2000,$A31,Måned!$C$5:$C$2000,MONTH(X$5+3))+SUMPRODUCT((Vinduer!$A$5:$A$300=$A31)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1" s="19">
        <f>IF($A31="","",IF(COUNTIFS(Måned!$A$5:$A$2000,$A31,Måned!$C$5:$C$2000,MONTH(Y$5+3))=0,"",MAX(1,MIN(5,SUMIFS(Måned!$H$5:$H$2000,Måned!$A$5:$A$2000,$A31,Måned!$C$5:$C$2000,MONTH(Y$5+3))+SUMPRODUCT((Vinduer!$A$5:$A$300=$A31)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1" s="19">
        <f>IF($A31="","",IF(COUNTIFS(Måned!$A$5:$A$2000,$A31,Måned!$C$5:$C$2000,MONTH(Z$5+3))=0,"",MAX(1,MIN(5,SUMIFS(Måned!$H$5:$H$2000,Måned!$A$5:$A$2000,$A31,Måned!$C$5:$C$2000,MONTH(Z$5+3))+SUMPRODUCT((Vinduer!$A$5:$A$300=$A31)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1" s="19">
        <f>IF($A31="","",IF(COUNTIFS(Måned!$A$5:$A$2000,$A31,Måned!$C$5:$C$2000,MONTH(AA$5+3))=0,"",MAX(1,MIN(5,SUMIFS(Måned!$H$5:$H$2000,Måned!$A$5:$A$2000,$A31,Måned!$C$5:$C$2000,MONTH(AA$5+3))+SUMPRODUCT((Vinduer!$A$5:$A$300=$A31)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1" s="19">
        <f>IF($A31="","",IF(COUNTIFS(Måned!$A$5:$A$2000,$A31,Måned!$C$5:$C$2000,MONTH(AB$5+3))=0,"",MAX(1,MIN(5,SUMIFS(Måned!$H$5:$H$2000,Måned!$A$5:$A$2000,$A31,Måned!$C$5:$C$2000,MONTH(AB$5+3))+SUMPRODUCT((Vinduer!$A$5:$A$300=$A31)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1" s="19">
        <f>IF($A31="","",IF(COUNTIFS(Måned!$A$5:$A$2000,$A31,Måned!$C$5:$C$2000,MONTH(AC$5+3))=0,"",MAX(1,MIN(5,SUMIFS(Måned!$H$5:$H$2000,Måned!$A$5:$A$2000,$A31,Måned!$C$5:$C$2000,MONTH(AC$5+3))+SUMPRODUCT((Vinduer!$A$5:$A$300=$A31)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1" s="19">
        <f>IF($A31="","",IF(COUNTIFS(Måned!$A$5:$A$2000,$A31,Måned!$C$5:$C$2000,MONTH(AD$5+3))=0,"",MAX(1,MIN(5,SUMIFS(Måned!$H$5:$H$2000,Måned!$A$5:$A$2000,$A31,Måned!$C$5:$C$2000,MONTH(AD$5+3))+SUMPRODUCT((Vinduer!$A$5:$A$300=$A31)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1" s="19">
        <f>IF($A31="","",IF(COUNTIFS(Måned!$A$5:$A$2000,$A31,Måned!$C$5:$C$2000,MONTH(AE$5+3))=0,"",MAX(1,MIN(5,SUMIFS(Måned!$H$5:$H$2000,Måned!$A$5:$A$2000,$A31,Måned!$C$5:$C$2000,MONTH(AE$5+3))+SUMPRODUCT((Vinduer!$A$5:$A$300=$A31)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1" s="19">
        <f>IF($A31="","",IF(COUNTIFS(Måned!$A$5:$A$2000,$A31,Måned!$C$5:$C$2000,MONTH(AF$5+3))=0,"",MAX(1,MIN(5,SUMIFS(Måned!$H$5:$H$2000,Måned!$A$5:$A$2000,$A31,Måned!$C$5:$C$2000,MONTH(AF$5+3))+SUMPRODUCT((Vinduer!$A$5:$A$300=$A31)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1" s="19">
        <f>IF($A31="","",IF(COUNTIFS(Måned!$A$5:$A$2000,$A31,Måned!$C$5:$C$2000,MONTH(AG$5+3))=0,"",MAX(1,MIN(5,SUMIFS(Måned!$H$5:$H$2000,Måned!$A$5:$A$2000,$A31,Måned!$C$5:$C$2000,MONTH(AG$5+3))+SUMPRODUCT((Vinduer!$A$5:$A$300=$A31)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1" s="19">
        <f>IF($A31="","",IF(COUNTIFS(Måned!$A$5:$A$2000,$A31,Måned!$C$5:$C$2000,MONTH(AH$5+3))=0,"",MAX(1,MIN(5,SUMIFS(Måned!$H$5:$H$2000,Måned!$A$5:$A$2000,$A31,Måned!$C$5:$C$2000,MONTH(AH$5+3))+SUMPRODUCT((Vinduer!$A$5:$A$300=$A31)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1" s="19">
        <f>IF($A31="","",IF(COUNTIFS(Måned!$A$5:$A$2000,$A31,Måned!$C$5:$C$2000,MONTH(AI$5+3))=0,"",MAX(1,MIN(5,SUMIFS(Måned!$H$5:$H$2000,Måned!$A$5:$A$2000,$A31,Måned!$C$5:$C$2000,MONTH(AI$5+3))+SUMPRODUCT((Vinduer!$A$5:$A$300=$A31)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1" s="19">
        <f>IF($A31="","",IF(COUNTIFS(Måned!$A$5:$A$2000,$A31,Måned!$C$5:$C$2000,MONTH(AJ$5+3))=0,"",MAX(1,MIN(5,SUMIFS(Måned!$H$5:$H$2000,Måned!$A$5:$A$2000,$A31,Måned!$C$5:$C$2000,MONTH(AJ$5+3))+SUMPRODUCT((Vinduer!$A$5:$A$300=$A31)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1" s="19">
        <f>IF($A31="","",IF(COUNTIFS(Måned!$A$5:$A$2000,$A31,Måned!$C$5:$C$2000,MONTH(AK$5+3))=0,"",MAX(1,MIN(5,SUMIFS(Måned!$H$5:$H$2000,Måned!$A$5:$A$2000,$A31,Måned!$C$5:$C$2000,MONTH(AK$5+3))+SUMPRODUCT((Vinduer!$A$5:$A$300=$A31)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1" s="19">
        <f>IF($A31="","",IF(COUNTIFS(Måned!$A$5:$A$2000,$A31,Måned!$C$5:$C$2000,MONTH(AL$5+3))=0,"",MAX(1,MIN(5,SUMIFS(Måned!$H$5:$H$2000,Måned!$A$5:$A$2000,$A31,Måned!$C$5:$C$2000,MONTH(AL$5+3))+SUMPRODUCT((Vinduer!$A$5:$A$300=$A31)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1" s="19">
        <f>IF($A31="","",IF(COUNTIFS(Måned!$A$5:$A$2000,$A31,Måned!$C$5:$C$2000,MONTH(AM$5+3))=0,"",MAX(1,MIN(5,SUMIFS(Måned!$H$5:$H$2000,Måned!$A$5:$A$2000,$A31,Måned!$C$5:$C$2000,MONTH(AM$5+3))+SUMPRODUCT((Vinduer!$A$5:$A$300=$A31)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1" s="19">
        <f>IF($A31="","",IF(COUNTIFS(Måned!$A$5:$A$2000,$A31,Måned!$C$5:$C$2000,MONTH(AN$5+3))=0,"",MAX(1,MIN(5,SUMIFS(Måned!$H$5:$H$2000,Måned!$A$5:$A$2000,$A31,Måned!$C$5:$C$2000,MONTH(AN$5+3))+SUMPRODUCT((Vinduer!$A$5:$A$300=$A31)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1" s="19">
        <f>IF($A31="","",IF(COUNTIFS(Måned!$A$5:$A$2000,$A31,Måned!$C$5:$C$2000,MONTH(AO$5+3))=0,"",MAX(1,MIN(5,SUMIFS(Måned!$H$5:$H$2000,Måned!$A$5:$A$2000,$A31,Måned!$C$5:$C$2000,MONTH(AO$5+3))+SUMPRODUCT((Vinduer!$A$5:$A$300=$A31)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1" s="19">
        <f>IF($A31="","",IF(COUNTIFS(Måned!$A$5:$A$2000,$A31,Måned!$C$5:$C$2000,MONTH(AP$5+3))=0,"",MAX(1,MIN(5,SUMIFS(Måned!$H$5:$H$2000,Måned!$A$5:$A$2000,$A31,Måned!$C$5:$C$2000,MONTH(AP$5+3))+SUMPRODUCT((Vinduer!$A$5:$A$300=$A31)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1" s="19">
        <f>IF($A31="","",IF(COUNTIFS(Måned!$A$5:$A$2000,$A31,Måned!$C$5:$C$2000,MONTH(AQ$5+3))=0,"",MAX(1,MIN(5,SUMIFS(Måned!$H$5:$H$2000,Måned!$A$5:$A$2000,$A31,Måned!$C$5:$C$2000,MONTH(AQ$5+3))+SUMPRODUCT((Vinduer!$A$5:$A$300=$A31)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1" s="19">
        <f>IF($A31="","",IF(COUNTIFS(Måned!$A$5:$A$2000,$A31,Måned!$C$5:$C$2000,MONTH(AR$5+3))=0,"",MAX(1,MIN(5,SUMIFS(Måned!$H$5:$H$2000,Måned!$A$5:$A$2000,$A31,Måned!$C$5:$C$2000,MONTH(AR$5+3))+SUMPRODUCT((Vinduer!$A$5:$A$300=$A31)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1" s="19">
        <f>IF($A31="","",IF(COUNTIFS(Måned!$A$5:$A$2000,$A31,Måned!$C$5:$C$2000,MONTH(AS$5+3))=0,"",MAX(1,MIN(5,SUMIFS(Måned!$H$5:$H$2000,Måned!$A$5:$A$2000,$A31,Måned!$C$5:$C$2000,MONTH(AS$5+3))+SUMPRODUCT((Vinduer!$A$5:$A$300=$A31)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1" s="19">
        <f>IF($A31="","",IF(COUNTIFS(Måned!$A$5:$A$2000,$A31,Måned!$C$5:$C$2000,MONTH(AT$5+3))=0,"",MAX(1,MIN(5,SUMIFS(Måned!$H$5:$H$2000,Måned!$A$5:$A$2000,$A31,Måned!$C$5:$C$2000,MONTH(AT$5+3))+SUMPRODUCT((Vinduer!$A$5:$A$300=$A31)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1" s="19">
        <f>IF($A31="","",IF(COUNTIFS(Måned!$A$5:$A$2000,$A31,Måned!$C$5:$C$2000,MONTH(AU$5+3))=0,"",MAX(1,MIN(5,SUMIFS(Måned!$H$5:$H$2000,Måned!$A$5:$A$2000,$A31,Måned!$C$5:$C$2000,MONTH(AU$5+3))+SUMPRODUCT((Vinduer!$A$5:$A$300=$A31)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1" s="19">
        <f>IF($A31="","",IF(COUNTIFS(Måned!$A$5:$A$2000,$A31,Måned!$C$5:$C$2000,MONTH(AV$5+3))=0,"",MAX(1,MIN(5,SUMIFS(Måned!$H$5:$H$2000,Måned!$A$5:$A$2000,$A31,Måned!$C$5:$C$2000,MONTH(AV$5+3))+SUMPRODUCT((Vinduer!$A$5:$A$300=$A31)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1" s="19">
        <f>IF($A31="","",IF(COUNTIFS(Måned!$A$5:$A$2000,$A31,Måned!$C$5:$C$2000,MONTH(AW$5+3))=0,"",MAX(1,MIN(5,SUMIFS(Måned!$H$5:$H$2000,Måned!$A$5:$A$2000,$A31,Måned!$C$5:$C$2000,MONTH(AW$5+3))+SUMPRODUCT((Vinduer!$A$5:$A$300=$A31)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1" s="19">
        <f>IF($A31="","",IF(COUNTIFS(Måned!$A$5:$A$2000,$A31,Måned!$C$5:$C$2000,MONTH(AX$5+3))=0,"",MAX(1,MIN(5,SUMIFS(Måned!$H$5:$H$2000,Måned!$A$5:$A$2000,$A31,Måned!$C$5:$C$2000,MONTH(AX$5+3))+SUMPRODUCT((Vinduer!$A$5:$A$300=$A31)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1" s="19">
        <f>IF($A31="","",IF(COUNTIFS(Måned!$A$5:$A$2000,$A31,Måned!$C$5:$C$2000,MONTH(AY$5+3))=0,"",MAX(1,MIN(5,SUMIFS(Måned!$H$5:$H$2000,Måned!$A$5:$A$2000,$A31,Måned!$C$5:$C$2000,MONTH(AY$5+3))+SUMPRODUCT((Vinduer!$A$5:$A$300=$A31)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1" s="19">
        <f>IF($A31="","",IF(COUNTIFS(Måned!$A$5:$A$2000,$A31,Måned!$C$5:$C$2000,MONTH(AZ$5+3))=0,"",MAX(1,MIN(5,SUMIFS(Måned!$H$5:$H$2000,Måned!$A$5:$A$2000,$A31,Måned!$C$5:$C$2000,MONTH(AZ$5+3))+SUMPRODUCT((Vinduer!$A$5:$A$300=$A31)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1" s="19">
        <f>IF($A31="","",IF(COUNTIFS(Måned!$A$5:$A$2000,$A31,Måned!$C$5:$C$2000,MONTH(BA$5+3))=0,"",MAX(1,MIN(5,SUMIFS(Måned!$H$5:$H$2000,Måned!$A$5:$A$2000,$A31,Måned!$C$5:$C$2000,MONTH(BA$5+3))+SUMPRODUCT((Vinduer!$A$5:$A$300=$A31)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1" s="19">
        <f>IF($A31="","",IF(COUNTIFS(Måned!$A$5:$A$2000,$A31,Måned!$C$5:$C$2000,MONTH(BB$5+3))=0,"",MAX(1,MIN(5,SUMIFS(Måned!$H$5:$H$2000,Måned!$A$5:$A$2000,$A31,Måned!$C$5:$C$2000,MONTH(BB$5+3))+SUMPRODUCT((Vinduer!$A$5:$A$300=$A31)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1" s="19">
        <f>IF($A31="","",IF(COUNTIFS(Måned!$A$5:$A$2000,$A31,Måned!$C$5:$C$2000,MONTH(BC$5+3))=0,"",MAX(1,MIN(5,SUMIFS(Måned!$H$5:$H$2000,Måned!$A$5:$A$2000,$A31,Måned!$C$5:$C$2000,MONTH(BC$5+3))+SUMPRODUCT((Vinduer!$A$5:$A$300=$A31)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1" s="19">
        <f>IF($A31="","",IF(COUNTIFS(Måned!$A$5:$A$2000,$A31,Måned!$C$5:$C$2000,MONTH(BD$5+3))=0,"",MAX(1,MIN(5,SUMIFS(Måned!$H$5:$H$2000,Måned!$A$5:$A$2000,$A31,Måned!$C$5:$C$2000,MONTH(BD$5+3))+SUMPRODUCT((Vinduer!$A$5:$A$300=$A31)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1" s="19">
        <f>IF($A31="","",IF(COUNTIFS(Måned!$A$5:$A$2000,$A31,Måned!$C$5:$C$2000,MONTH(BE$5+3))=0,"",MAX(1,MIN(5,SUMIFS(Måned!$H$5:$H$2000,Måned!$A$5:$A$2000,$A31,Måned!$C$5:$C$2000,MONTH(BE$5+3))+SUMPRODUCT((Vinduer!$A$5:$A$300=$A31)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2">
      <c r="A32" s="5">
        <f>IF(Destinasjoner!A28="","",Destinasjoner!A28)</f>
        <v/>
      </c>
      <c r="B32" s="5">
        <f>IF(A32="","",Destinasjoner!E28)</f>
        <v/>
      </c>
      <c r="C32" s="5">
        <f>IF(A32="","",Destinasjoner!B28)</f>
        <v/>
      </c>
      <c r="D32" s="17">
        <f>IFERROR(SUMIFS(F32:BE32,$F$7:$BE$7,"x")/COUNTIFS($F$7:$BE$7,"x",F32:BE32,"&gt;0"),"")</f>
        <v/>
      </c>
      <c r="E32" s="18">
        <f>IF(D32="","",_xlfn.MINIFS(F32:BE32,$F$7:$BE$7,"x",F32:BE32,"&gt;0"))</f>
        <v/>
      </c>
      <c r="F32" s="19">
        <f>IF($A32="","",IF(COUNTIFS(Måned!$A$5:$A$2000,$A32,Måned!$C$5:$C$2000,MONTH(F$5+3))=0,"",MAX(1,MIN(5,SUMIFS(Måned!$H$5:$H$2000,Måned!$A$5:$A$2000,$A32,Måned!$C$5:$C$2000,MONTH(F$5+3))+SUMPRODUCT((Vinduer!$A$5:$A$300=$A32)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2" s="19">
        <f>IF($A32="","",IF(COUNTIFS(Måned!$A$5:$A$2000,$A32,Måned!$C$5:$C$2000,MONTH(G$5+3))=0,"",MAX(1,MIN(5,SUMIFS(Måned!$H$5:$H$2000,Måned!$A$5:$A$2000,$A32,Måned!$C$5:$C$2000,MONTH(G$5+3))+SUMPRODUCT((Vinduer!$A$5:$A$300=$A32)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2" s="19">
        <f>IF($A32="","",IF(COUNTIFS(Måned!$A$5:$A$2000,$A32,Måned!$C$5:$C$2000,MONTH(H$5+3))=0,"",MAX(1,MIN(5,SUMIFS(Måned!$H$5:$H$2000,Måned!$A$5:$A$2000,$A32,Måned!$C$5:$C$2000,MONTH(H$5+3))+SUMPRODUCT((Vinduer!$A$5:$A$300=$A32)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2" s="19">
        <f>IF($A32="","",IF(COUNTIFS(Måned!$A$5:$A$2000,$A32,Måned!$C$5:$C$2000,MONTH(I$5+3))=0,"",MAX(1,MIN(5,SUMIFS(Måned!$H$5:$H$2000,Måned!$A$5:$A$2000,$A32,Måned!$C$5:$C$2000,MONTH(I$5+3))+SUMPRODUCT((Vinduer!$A$5:$A$300=$A32)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2" s="19">
        <f>IF($A32="","",IF(COUNTIFS(Måned!$A$5:$A$2000,$A32,Måned!$C$5:$C$2000,MONTH(J$5+3))=0,"",MAX(1,MIN(5,SUMIFS(Måned!$H$5:$H$2000,Måned!$A$5:$A$2000,$A32,Måned!$C$5:$C$2000,MONTH(J$5+3))+SUMPRODUCT((Vinduer!$A$5:$A$300=$A32)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2" s="19">
        <f>IF($A32="","",IF(COUNTIFS(Måned!$A$5:$A$2000,$A32,Måned!$C$5:$C$2000,MONTH(K$5+3))=0,"",MAX(1,MIN(5,SUMIFS(Måned!$H$5:$H$2000,Måned!$A$5:$A$2000,$A32,Måned!$C$5:$C$2000,MONTH(K$5+3))+SUMPRODUCT((Vinduer!$A$5:$A$300=$A32)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2" s="19">
        <f>IF($A32="","",IF(COUNTIFS(Måned!$A$5:$A$2000,$A32,Måned!$C$5:$C$2000,MONTH(L$5+3))=0,"",MAX(1,MIN(5,SUMIFS(Måned!$H$5:$H$2000,Måned!$A$5:$A$2000,$A32,Måned!$C$5:$C$2000,MONTH(L$5+3))+SUMPRODUCT((Vinduer!$A$5:$A$300=$A32)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2" s="19">
        <f>IF($A32="","",IF(COUNTIFS(Måned!$A$5:$A$2000,$A32,Måned!$C$5:$C$2000,MONTH(M$5+3))=0,"",MAX(1,MIN(5,SUMIFS(Måned!$H$5:$H$2000,Måned!$A$5:$A$2000,$A32,Måned!$C$5:$C$2000,MONTH(M$5+3))+SUMPRODUCT((Vinduer!$A$5:$A$300=$A32)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2" s="19">
        <f>IF($A32="","",IF(COUNTIFS(Måned!$A$5:$A$2000,$A32,Måned!$C$5:$C$2000,MONTH(N$5+3))=0,"",MAX(1,MIN(5,SUMIFS(Måned!$H$5:$H$2000,Måned!$A$5:$A$2000,$A32,Måned!$C$5:$C$2000,MONTH(N$5+3))+SUMPRODUCT((Vinduer!$A$5:$A$300=$A32)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2" s="19">
        <f>IF($A32="","",IF(COUNTIFS(Måned!$A$5:$A$2000,$A32,Måned!$C$5:$C$2000,MONTH(O$5+3))=0,"",MAX(1,MIN(5,SUMIFS(Måned!$H$5:$H$2000,Måned!$A$5:$A$2000,$A32,Måned!$C$5:$C$2000,MONTH(O$5+3))+SUMPRODUCT((Vinduer!$A$5:$A$300=$A32)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2" s="19">
        <f>IF($A32="","",IF(COUNTIFS(Måned!$A$5:$A$2000,$A32,Måned!$C$5:$C$2000,MONTH(P$5+3))=0,"",MAX(1,MIN(5,SUMIFS(Måned!$H$5:$H$2000,Måned!$A$5:$A$2000,$A32,Måned!$C$5:$C$2000,MONTH(P$5+3))+SUMPRODUCT((Vinduer!$A$5:$A$300=$A32)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2" s="19">
        <f>IF($A32="","",IF(COUNTIFS(Måned!$A$5:$A$2000,$A32,Måned!$C$5:$C$2000,MONTH(Q$5+3))=0,"",MAX(1,MIN(5,SUMIFS(Måned!$H$5:$H$2000,Måned!$A$5:$A$2000,$A32,Måned!$C$5:$C$2000,MONTH(Q$5+3))+SUMPRODUCT((Vinduer!$A$5:$A$300=$A32)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2" s="19">
        <f>IF($A32="","",IF(COUNTIFS(Måned!$A$5:$A$2000,$A32,Måned!$C$5:$C$2000,MONTH(R$5+3))=0,"",MAX(1,MIN(5,SUMIFS(Måned!$H$5:$H$2000,Måned!$A$5:$A$2000,$A32,Måned!$C$5:$C$2000,MONTH(R$5+3))+SUMPRODUCT((Vinduer!$A$5:$A$300=$A32)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2" s="19">
        <f>IF($A32="","",IF(COUNTIFS(Måned!$A$5:$A$2000,$A32,Måned!$C$5:$C$2000,MONTH(S$5+3))=0,"",MAX(1,MIN(5,SUMIFS(Måned!$H$5:$H$2000,Måned!$A$5:$A$2000,$A32,Måned!$C$5:$C$2000,MONTH(S$5+3))+SUMPRODUCT((Vinduer!$A$5:$A$300=$A32)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2" s="19">
        <f>IF($A32="","",IF(COUNTIFS(Måned!$A$5:$A$2000,$A32,Måned!$C$5:$C$2000,MONTH(T$5+3))=0,"",MAX(1,MIN(5,SUMIFS(Måned!$H$5:$H$2000,Måned!$A$5:$A$2000,$A32,Måned!$C$5:$C$2000,MONTH(T$5+3))+SUMPRODUCT((Vinduer!$A$5:$A$300=$A32)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2" s="19">
        <f>IF($A32="","",IF(COUNTIFS(Måned!$A$5:$A$2000,$A32,Måned!$C$5:$C$2000,MONTH(U$5+3))=0,"",MAX(1,MIN(5,SUMIFS(Måned!$H$5:$H$2000,Måned!$A$5:$A$2000,$A32,Måned!$C$5:$C$2000,MONTH(U$5+3))+SUMPRODUCT((Vinduer!$A$5:$A$300=$A32)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2" s="19">
        <f>IF($A32="","",IF(COUNTIFS(Måned!$A$5:$A$2000,$A32,Måned!$C$5:$C$2000,MONTH(V$5+3))=0,"",MAX(1,MIN(5,SUMIFS(Måned!$H$5:$H$2000,Måned!$A$5:$A$2000,$A32,Måned!$C$5:$C$2000,MONTH(V$5+3))+SUMPRODUCT((Vinduer!$A$5:$A$300=$A32)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2" s="19">
        <f>IF($A32="","",IF(COUNTIFS(Måned!$A$5:$A$2000,$A32,Måned!$C$5:$C$2000,MONTH(W$5+3))=0,"",MAX(1,MIN(5,SUMIFS(Måned!$H$5:$H$2000,Måned!$A$5:$A$2000,$A32,Måned!$C$5:$C$2000,MONTH(W$5+3))+SUMPRODUCT((Vinduer!$A$5:$A$300=$A32)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2" s="19">
        <f>IF($A32="","",IF(COUNTIFS(Måned!$A$5:$A$2000,$A32,Måned!$C$5:$C$2000,MONTH(X$5+3))=0,"",MAX(1,MIN(5,SUMIFS(Måned!$H$5:$H$2000,Måned!$A$5:$A$2000,$A32,Måned!$C$5:$C$2000,MONTH(X$5+3))+SUMPRODUCT((Vinduer!$A$5:$A$300=$A32)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2" s="19">
        <f>IF($A32="","",IF(COUNTIFS(Måned!$A$5:$A$2000,$A32,Måned!$C$5:$C$2000,MONTH(Y$5+3))=0,"",MAX(1,MIN(5,SUMIFS(Måned!$H$5:$H$2000,Måned!$A$5:$A$2000,$A32,Måned!$C$5:$C$2000,MONTH(Y$5+3))+SUMPRODUCT((Vinduer!$A$5:$A$300=$A32)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2" s="19">
        <f>IF($A32="","",IF(COUNTIFS(Måned!$A$5:$A$2000,$A32,Måned!$C$5:$C$2000,MONTH(Z$5+3))=0,"",MAX(1,MIN(5,SUMIFS(Måned!$H$5:$H$2000,Måned!$A$5:$A$2000,$A32,Måned!$C$5:$C$2000,MONTH(Z$5+3))+SUMPRODUCT((Vinduer!$A$5:$A$300=$A32)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2" s="19">
        <f>IF($A32="","",IF(COUNTIFS(Måned!$A$5:$A$2000,$A32,Måned!$C$5:$C$2000,MONTH(AA$5+3))=0,"",MAX(1,MIN(5,SUMIFS(Måned!$H$5:$H$2000,Måned!$A$5:$A$2000,$A32,Måned!$C$5:$C$2000,MONTH(AA$5+3))+SUMPRODUCT((Vinduer!$A$5:$A$300=$A32)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2" s="19">
        <f>IF($A32="","",IF(COUNTIFS(Måned!$A$5:$A$2000,$A32,Måned!$C$5:$C$2000,MONTH(AB$5+3))=0,"",MAX(1,MIN(5,SUMIFS(Måned!$H$5:$H$2000,Måned!$A$5:$A$2000,$A32,Måned!$C$5:$C$2000,MONTH(AB$5+3))+SUMPRODUCT((Vinduer!$A$5:$A$300=$A32)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2" s="19">
        <f>IF($A32="","",IF(COUNTIFS(Måned!$A$5:$A$2000,$A32,Måned!$C$5:$C$2000,MONTH(AC$5+3))=0,"",MAX(1,MIN(5,SUMIFS(Måned!$H$5:$H$2000,Måned!$A$5:$A$2000,$A32,Måned!$C$5:$C$2000,MONTH(AC$5+3))+SUMPRODUCT((Vinduer!$A$5:$A$300=$A32)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2" s="19">
        <f>IF($A32="","",IF(COUNTIFS(Måned!$A$5:$A$2000,$A32,Måned!$C$5:$C$2000,MONTH(AD$5+3))=0,"",MAX(1,MIN(5,SUMIFS(Måned!$H$5:$H$2000,Måned!$A$5:$A$2000,$A32,Måned!$C$5:$C$2000,MONTH(AD$5+3))+SUMPRODUCT((Vinduer!$A$5:$A$300=$A32)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2" s="19">
        <f>IF($A32="","",IF(COUNTIFS(Måned!$A$5:$A$2000,$A32,Måned!$C$5:$C$2000,MONTH(AE$5+3))=0,"",MAX(1,MIN(5,SUMIFS(Måned!$H$5:$H$2000,Måned!$A$5:$A$2000,$A32,Måned!$C$5:$C$2000,MONTH(AE$5+3))+SUMPRODUCT((Vinduer!$A$5:$A$300=$A32)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2" s="19">
        <f>IF($A32="","",IF(COUNTIFS(Måned!$A$5:$A$2000,$A32,Måned!$C$5:$C$2000,MONTH(AF$5+3))=0,"",MAX(1,MIN(5,SUMIFS(Måned!$H$5:$H$2000,Måned!$A$5:$A$2000,$A32,Måned!$C$5:$C$2000,MONTH(AF$5+3))+SUMPRODUCT((Vinduer!$A$5:$A$300=$A32)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2" s="19">
        <f>IF($A32="","",IF(COUNTIFS(Måned!$A$5:$A$2000,$A32,Måned!$C$5:$C$2000,MONTH(AG$5+3))=0,"",MAX(1,MIN(5,SUMIFS(Måned!$H$5:$H$2000,Måned!$A$5:$A$2000,$A32,Måned!$C$5:$C$2000,MONTH(AG$5+3))+SUMPRODUCT((Vinduer!$A$5:$A$300=$A32)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2" s="19">
        <f>IF($A32="","",IF(COUNTIFS(Måned!$A$5:$A$2000,$A32,Måned!$C$5:$C$2000,MONTH(AH$5+3))=0,"",MAX(1,MIN(5,SUMIFS(Måned!$H$5:$H$2000,Måned!$A$5:$A$2000,$A32,Måned!$C$5:$C$2000,MONTH(AH$5+3))+SUMPRODUCT((Vinduer!$A$5:$A$300=$A32)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2" s="19">
        <f>IF($A32="","",IF(COUNTIFS(Måned!$A$5:$A$2000,$A32,Måned!$C$5:$C$2000,MONTH(AI$5+3))=0,"",MAX(1,MIN(5,SUMIFS(Måned!$H$5:$H$2000,Måned!$A$5:$A$2000,$A32,Måned!$C$5:$C$2000,MONTH(AI$5+3))+SUMPRODUCT((Vinduer!$A$5:$A$300=$A32)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2" s="19">
        <f>IF($A32="","",IF(COUNTIFS(Måned!$A$5:$A$2000,$A32,Måned!$C$5:$C$2000,MONTH(AJ$5+3))=0,"",MAX(1,MIN(5,SUMIFS(Måned!$H$5:$H$2000,Måned!$A$5:$A$2000,$A32,Måned!$C$5:$C$2000,MONTH(AJ$5+3))+SUMPRODUCT((Vinduer!$A$5:$A$300=$A32)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2" s="19">
        <f>IF($A32="","",IF(COUNTIFS(Måned!$A$5:$A$2000,$A32,Måned!$C$5:$C$2000,MONTH(AK$5+3))=0,"",MAX(1,MIN(5,SUMIFS(Måned!$H$5:$H$2000,Måned!$A$5:$A$2000,$A32,Måned!$C$5:$C$2000,MONTH(AK$5+3))+SUMPRODUCT((Vinduer!$A$5:$A$300=$A32)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2" s="19">
        <f>IF($A32="","",IF(COUNTIFS(Måned!$A$5:$A$2000,$A32,Måned!$C$5:$C$2000,MONTH(AL$5+3))=0,"",MAX(1,MIN(5,SUMIFS(Måned!$H$5:$H$2000,Måned!$A$5:$A$2000,$A32,Måned!$C$5:$C$2000,MONTH(AL$5+3))+SUMPRODUCT((Vinduer!$A$5:$A$300=$A32)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2" s="19">
        <f>IF($A32="","",IF(COUNTIFS(Måned!$A$5:$A$2000,$A32,Måned!$C$5:$C$2000,MONTH(AM$5+3))=0,"",MAX(1,MIN(5,SUMIFS(Måned!$H$5:$H$2000,Måned!$A$5:$A$2000,$A32,Måned!$C$5:$C$2000,MONTH(AM$5+3))+SUMPRODUCT((Vinduer!$A$5:$A$300=$A32)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2" s="19">
        <f>IF($A32="","",IF(COUNTIFS(Måned!$A$5:$A$2000,$A32,Måned!$C$5:$C$2000,MONTH(AN$5+3))=0,"",MAX(1,MIN(5,SUMIFS(Måned!$H$5:$H$2000,Måned!$A$5:$A$2000,$A32,Måned!$C$5:$C$2000,MONTH(AN$5+3))+SUMPRODUCT((Vinduer!$A$5:$A$300=$A32)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2" s="19">
        <f>IF($A32="","",IF(COUNTIFS(Måned!$A$5:$A$2000,$A32,Måned!$C$5:$C$2000,MONTH(AO$5+3))=0,"",MAX(1,MIN(5,SUMIFS(Måned!$H$5:$H$2000,Måned!$A$5:$A$2000,$A32,Måned!$C$5:$C$2000,MONTH(AO$5+3))+SUMPRODUCT((Vinduer!$A$5:$A$300=$A32)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2" s="19">
        <f>IF($A32="","",IF(COUNTIFS(Måned!$A$5:$A$2000,$A32,Måned!$C$5:$C$2000,MONTH(AP$5+3))=0,"",MAX(1,MIN(5,SUMIFS(Måned!$H$5:$H$2000,Måned!$A$5:$A$2000,$A32,Måned!$C$5:$C$2000,MONTH(AP$5+3))+SUMPRODUCT((Vinduer!$A$5:$A$300=$A32)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2" s="19">
        <f>IF($A32="","",IF(COUNTIFS(Måned!$A$5:$A$2000,$A32,Måned!$C$5:$C$2000,MONTH(AQ$5+3))=0,"",MAX(1,MIN(5,SUMIFS(Måned!$H$5:$H$2000,Måned!$A$5:$A$2000,$A32,Måned!$C$5:$C$2000,MONTH(AQ$5+3))+SUMPRODUCT((Vinduer!$A$5:$A$300=$A32)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2" s="19">
        <f>IF($A32="","",IF(COUNTIFS(Måned!$A$5:$A$2000,$A32,Måned!$C$5:$C$2000,MONTH(AR$5+3))=0,"",MAX(1,MIN(5,SUMIFS(Måned!$H$5:$H$2000,Måned!$A$5:$A$2000,$A32,Måned!$C$5:$C$2000,MONTH(AR$5+3))+SUMPRODUCT((Vinduer!$A$5:$A$300=$A32)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2" s="19">
        <f>IF($A32="","",IF(COUNTIFS(Måned!$A$5:$A$2000,$A32,Måned!$C$5:$C$2000,MONTH(AS$5+3))=0,"",MAX(1,MIN(5,SUMIFS(Måned!$H$5:$H$2000,Måned!$A$5:$A$2000,$A32,Måned!$C$5:$C$2000,MONTH(AS$5+3))+SUMPRODUCT((Vinduer!$A$5:$A$300=$A32)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2" s="19">
        <f>IF($A32="","",IF(COUNTIFS(Måned!$A$5:$A$2000,$A32,Måned!$C$5:$C$2000,MONTH(AT$5+3))=0,"",MAX(1,MIN(5,SUMIFS(Måned!$H$5:$H$2000,Måned!$A$5:$A$2000,$A32,Måned!$C$5:$C$2000,MONTH(AT$5+3))+SUMPRODUCT((Vinduer!$A$5:$A$300=$A32)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2" s="19">
        <f>IF($A32="","",IF(COUNTIFS(Måned!$A$5:$A$2000,$A32,Måned!$C$5:$C$2000,MONTH(AU$5+3))=0,"",MAX(1,MIN(5,SUMIFS(Måned!$H$5:$H$2000,Måned!$A$5:$A$2000,$A32,Måned!$C$5:$C$2000,MONTH(AU$5+3))+SUMPRODUCT((Vinduer!$A$5:$A$300=$A32)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2" s="19">
        <f>IF($A32="","",IF(COUNTIFS(Måned!$A$5:$A$2000,$A32,Måned!$C$5:$C$2000,MONTH(AV$5+3))=0,"",MAX(1,MIN(5,SUMIFS(Måned!$H$5:$H$2000,Måned!$A$5:$A$2000,$A32,Måned!$C$5:$C$2000,MONTH(AV$5+3))+SUMPRODUCT((Vinduer!$A$5:$A$300=$A32)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2" s="19">
        <f>IF($A32="","",IF(COUNTIFS(Måned!$A$5:$A$2000,$A32,Måned!$C$5:$C$2000,MONTH(AW$5+3))=0,"",MAX(1,MIN(5,SUMIFS(Måned!$H$5:$H$2000,Måned!$A$5:$A$2000,$A32,Måned!$C$5:$C$2000,MONTH(AW$5+3))+SUMPRODUCT((Vinduer!$A$5:$A$300=$A32)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2" s="19">
        <f>IF($A32="","",IF(COUNTIFS(Måned!$A$5:$A$2000,$A32,Måned!$C$5:$C$2000,MONTH(AX$5+3))=0,"",MAX(1,MIN(5,SUMIFS(Måned!$H$5:$H$2000,Måned!$A$5:$A$2000,$A32,Måned!$C$5:$C$2000,MONTH(AX$5+3))+SUMPRODUCT((Vinduer!$A$5:$A$300=$A32)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2" s="19">
        <f>IF($A32="","",IF(COUNTIFS(Måned!$A$5:$A$2000,$A32,Måned!$C$5:$C$2000,MONTH(AY$5+3))=0,"",MAX(1,MIN(5,SUMIFS(Måned!$H$5:$H$2000,Måned!$A$5:$A$2000,$A32,Måned!$C$5:$C$2000,MONTH(AY$5+3))+SUMPRODUCT((Vinduer!$A$5:$A$300=$A32)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2" s="19">
        <f>IF($A32="","",IF(COUNTIFS(Måned!$A$5:$A$2000,$A32,Måned!$C$5:$C$2000,MONTH(AZ$5+3))=0,"",MAX(1,MIN(5,SUMIFS(Måned!$H$5:$H$2000,Måned!$A$5:$A$2000,$A32,Måned!$C$5:$C$2000,MONTH(AZ$5+3))+SUMPRODUCT((Vinduer!$A$5:$A$300=$A32)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2" s="19">
        <f>IF($A32="","",IF(COUNTIFS(Måned!$A$5:$A$2000,$A32,Måned!$C$5:$C$2000,MONTH(BA$5+3))=0,"",MAX(1,MIN(5,SUMIFS(Måned!$H$5:$H$2000,Måned!$A$5:$A$2000,$A32,Måned!$C$5:$C$2000,MONTH(BA$5+3))+SUMPRODUCT((Vinduer!$A$5:$A$300=$A32)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2" s="19">
        <f>IF($A32="","",IF(COUNTIFS(Måned!$A$5:$A$2000,$A32,Måned!$C$5:$C$2000,MONTH(BB$5+3))=0,"",MAX(1,MIN(5,SUMIFS(Måned!$H$5:$H$2000,Måned!$A$5:$A$2000,$A32,Måned!$C$5:$C$2000,MONTH(BB$5+3))+SUMPRODUCT((Vinduer!$A$5:$A$300=$A32)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2" s="19">
        <f>IF($A32="","",IF(COUNTIFS(Måned!$A$5:$A$2000,$A32,Måned!$C$5:$C$2000,MONTH(BC$5+3))=0,"",MAX(1,MIN(5,SUMIFS(Måned!$H$5:$H$2000,Måned!$A$5:$A$2000,$A32,Måned!$C$5:$C$2000,MONTH(BC$5+3))+SUMPRODUCT((Vinduer!$A$5:$A$300=$A32)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2" s="19">
        <f>IF($A32="","",IF(COUNTIFS(Måned!$A$5:$A$2000,$A32,Måned!$C$5:$C$2000,MONTH(BD$5+3))=0,"",MAX(1,MIN(5,SUMIFS(Måned!$H$5:$H$2000,Måned!$A$5:$A$2000,$A32,Måned!$C$5:$C$2000,MONTH(BD$5+3))+SUMPRODUCT((Vinduer!$A$5:$A$300=$A32)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2" s="19">
        <f>IF($A32="","",IF(COUNTIFS(Måned!$A$5:$A$2000,$A32,Måned!$C$5:$C$2000,MONTH(BE$5+3))=0,"",MAX(1,MIN(5,SUMIFS(Måned!$H$5:$H$2000,Måned!$A$5:$A$2000,$A32,Måned!$C$5:$C$2000,MONTH(BE$5+3))+SUMPRODUCT((Vinduer!$A$5:$A$300=$A32)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3">
      <c r="A33" s="5">
        <f>IF(Destinasjoner!A29="","",Destinasjoner!A29)</f>
        <v/>
      </c>
      <c r="B33" s="5">
        <f>IF(A33="","",Destinasjoner!E29)</f>
        <v/>
      </c>
      <c r="C33" s="5">
        <f>IF(A33="","",Destinasjoner!B29)</f>
        <v/>
      </c>
      <c r="D33" s="17">
        <f>IFERROR(SUMIFS(F33:BE33,$F$7:$BE$7,"x")/COUNTIFS($F$7:$BE$7,"x",F33:BE33,"&gt;0"),"")</f>
        <v/>
      </c>
      <c r="E33" s="18">
        <f>IF(D33="","",_xlfn.MINIFS(F33:BE33,$F$7:$BE$7,"x",F33:BE33,"&gt;0"))</f>
        <v/>
      </c>
      <c r="F33" s="19">
        <f>IF($A33="","",IF(COUNTIFS(Måned!$A$5:$A$2000,$A33,Måned!$C$5:$C$2000,MONTH(F$5+3))=0,"",MAX(1,MIN(5,SUMIFS(Måned!$H$5:$H$2000,Måned!$A$5:$A$2000,$A33,Måned!$C$5:$C$2000,MONTH(F$5+3))+SUMPRODUCT((Vinduer!$A$5:$A$300=$A33)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3" s="19">
        <f>IF($A33="","",IF(COUNTIFS(Måned!$A$5:$A$2000,$A33,Måned!$C$5:$C$2000,MONTH(G$5+3))=0,"",MAX(1,MIN(5,SUMIFS(Måned!$H$5:$H$2000,Måned!$A$5:$A$2000,$A33,Måned!$C$5:$C$2000,MONTH(G$5+3))+SUMPRODUCT((Vinduer!$A$5:$A$300=$A33)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3" s="19">
        <f>IF($A33="","",IF(COUNTIFS(Måned!$A$5:$A$2000,$A33,Måned!$C$5:$C$2000,MONTH(H$5+3))=0,"",MAX(1,MIN(5,SUMIFS(Måned!$H$5:$H$2000,Måned!$A$5:$A$2000,$A33,Måned!$C$5:$C$2000,MONTH(H$5+3))+SUMPRODUCT((Vinduer!$A$5:$A$300=$A33)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3" s="19">
        <f>IF($A33="","",IF(COUNTIFS(Måned!$A$5:$A$2000,$A33,Måned!$C$5:$C$2000,MONTH(I$5+3))=0,"",MAX(1,MIN(5,SUMIFS(Måned!$H$5:$H$2000,Måned!$A$5:$A$2000,$A33,Måned!$C$5:$C$2000,MONTH(I$5+3))+SUMPRODUCT((Vinduer!$A$5:$A$300=$A33)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3" s="19">
        <f>IF($A33="","",IF(COUNTIFS(Måned!$A$5:$A$2000,$A33,Måned!$C$5:$C$2000,MONTH(J$5+3))=0,"",MAX(1,MIN(5,SUMIFS(Måned!$H$5:$H$2000,Måned!$A$5:$A$2000,$A33,Måned!$C$5:$C$2000,MONTH(J$5+3))+SUMPRODUCT((Vinduer!$A$5:$A$300=$A33)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3" s="19">
        <f>IF($A33="","",IF(COUNTIFS(Måned!$A$5:$A$2000,$A33,Måned!$C$5:$C$2000,MONTH(K$5+3))=0,"",MAX(1,MIN(5,SUMIFS(Måned!$H$5:$H$2000,Måned!$A$5:$A$2000,$A33,Måned!$C$5:$C$2000,MONTH(K$5+3))+SUMPRODUCT((Vinduer!$A$5:$A$300=$A33)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3" s="19">
        <f>IF($A33="","",IF(COUNTIFS(Måned!$A$5:$A$2000,$A33,Måned!$C$5:$C$2000,MONTH(L$5+3))=0,"",MAX(1,MIN(5,SUMIFS(Måned!$H$5:$H$2000,Måned!$A$5:$A$2000,$A33,Måned!$C$5:$C$2000,MONTH(L$5+3))+SUMPRODUCT((Vinduer!$A$5:$A$300=$A33)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3" s="19">
        <f>IF($A33="","",IF(COUNTIFS(Måned!$A$5:$A$2000,$A33,Måned!$C$5:$C$2000,MONTH(M$5+3))=0,"",MAX(1,MIN(5,SUMIFS(Måned!$H$5:$H$2000,Måned!$A$5:$A$2000,$A33,Måned!$C$5:$C$2000,MONTH(M$5+3))+SUMPRODUCT((Vinduer!$A$5:$A$300=$A33)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3" s="19">
        <f>IF($A33="","",IF(COUNTIFS(Måned!$A$5:$A$2000,$A33,Måned!$C$5:$C$2000,MONTH(N$5+3))=0,"",MAX(1,MIN(5,SUMIFS(Måned!$H$5:$H$2000,Måned!$A$5:$A$2000,$A33,Måned!$C$5:$C$2000,MONTH(N$5+3))+SUMPRODUCT((Vinduer!$A$5:$A$300=$A33)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3" s="19">
        <f>IF($A33="","",IF(COUNTIFS(Måned!$A$5:$A$2000,$A33,Måned!$C$5:$C$2000,MONTH(O$5+3))=0,"",MAX(1,MIN(5,SUMIFS(Måned!$H$5:$H$2000,Måned!$A$5:$A$2000,$A33,Måned!$C$5:$C$2000,MONTH(O$5+3))+SUMPRODUCT((Vinduer!$A$5:$A$300=$A33)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3" s="19">
        <f>IF($A33="","",IF(COUNTIFS(Måned!$A$5:$A$2000,$A33,Måned!$C$5:$C$2000,MONTH(P$5+3))=0,"",MAX(1,MIN(5,SUMIFS(Måned!$H$5:$H$2000,Måned!$A$5:$A$2000,$A33,Måned!$C$5:$C$2000,MONTH(P$5+3))+SUMPRODUCT((Vinduer!$A$5:$A$300=$A33)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3" s="19">
        <f>IF($A33="","",IF(COUNTIFS(Måned!$A$5:$A$2000,$A33,Måned!$C$5:$C$2000,MONTH(Q$5+3))=0,"",MAX(1,MIN(5,SUMIFS(Måned!$H$5:$H$2000,Måned!$A$5:$A$2000,$A33,Måned!$C$5:$C$2000,MONTH(Q$5+3))+SUMPRODUCT((Vinduer!$A$5:$A$300=$A33)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3" s="19">
        <f>IF($A33="","",IF(COUNTIFS(Måned!$A$5:$A$2000,$A33,Måned!$C$5:$C$2000,MONTH(R$5+3))=0,"",MAX(1,MIN(5,SUMIFS(Måned!$H$5:$H$2000,Måned!$A$5:$A$2000,$A33,Måned!$C$5:$C$2000,MONTH(R$5+3))+SUMPRODUCT((Vinduer!$A$5:$A$300=$A33)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3" s="19">
        <f>IF($A33="","",IF(COUNTIFS(Måned!$A$5:$A$2000,$A33,Måned!$C$5:$C$2000,MONTH(S$5+3))=0,"",MAX(1,MIN(5,SUMIFS(Måned!$H$5:$H$2000,Måned!$A$5:$A$2000,$A33,Måned!$C$5:$C$2000,MONTH(S$5+3))+SUMPRODUCT((Vinduer!$A$5:$A$300=$A33)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3" s="19">
        <f>IF($A33="","",IF(COUNTIFS(Måned!$A$5:$A$2000,$A33,Måned!$C$5:$C$2000,MONTH(T$5+3))=0,"",MAX(1,MIN(5,SUMIFS(Måned!$H$5:$H$2000,Måned!$A$5:$A$2000,$A33,Måned!$C$5:$C$2000,MONTH(T$5+3))+SUMPRODUCT((Vinduer!$A$5:$A$300=$A33)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3" s="19">
        <f>IF($A33="","",IF(COUNTIFS(Måned!$A$5:$A$2000,$A33,Måned!$C$5:$C$2000,MONTH(U$5+3))=0,"",MAX(1,MIN(5,SUMIFS(Måned!$H$5:$H$2000,Måned!$A$5:$A$2000,$A33,Måned!$C$5:$C$2000,MONTH(U$5+3))+SUMPRODUCT((Vinduer!$A$5:$A$300=$A33)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3" s="19">
        <f>IF($A33="","",IF(COUNTIFS(Måned!$A$5:$A$2000,$A33,Måned!$C$5:$C$2000,MONTH(V$5+3))=0,"",MAX(1,MIN(5,SUMIFS(Måned!$H$5:$H$2000,Måned!$A$5:$A$2000,$A33,Måned!$C$5:$C$2000,MONTH(V$5+3))+SUMPRODUCT((Vinduer!$A$5:$A$300=$A33)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3" s="19">
        <f>IF($A33="","",IF(COUNTIFS(Måned!$A$5:$A$2000,$A33,Måned!$C$5:$C$2000,MONTH(W$5+3))=0,"",MAX(1,MIN(5,SUMIFS(Måned!$H$5:$H$2000,Måned!$A$5:$A$2000,$A33,Måned!$C$5:$C$2000,MONTH(W$5+3))+SUMPRODUCT((Vinduer!$A$5:$A$300=$A33)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3" s="19">
        <f>IF($A33="","",IF(COUNTIFS(Måned!$A$5:$A$2000,$A33,Måned!$C$5:$C$2000,MONTH(X$5+3))=0,"",MAX(1,MIN(5,SUMIFS(Måned!$H$5:$H$2000,Måned!$A$5:$A$2000,$A33,Måned!$C$5:$C$2000,MONTH(X$5+3))+SUMPRODUCT((Vinduer!$A$5:$A$300=$A33)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3" s="19">
        <f>IF($A33="","",IF(COUNTIFS(Måned!$A$5:$A$2000,$A33,Måned!$C$5:$C$2000,MONTH(Y$5+3))=0,"",MAX(1,MIN(5,SUMIFS(Måned!$H$5:$H$2000,Måned!$A$5:$A$2000,$A33,Måned!$C$5:$C$2000,MONTH(Y$5+3))+SUMPRODUCT((Vinduer!$A$5:$A$300=$A33)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3" s="19">
        <f>IF($A33="","",IF(COUNTIFS(Måned!$A$5:$A$2000,$A33,Måned!$C$5:$C$2000,MONTH(Z$5+3))=0,"",MAX(1,MIN(5,SUMIFS(Måned!$H$5:$H$2000,Måned!$A$5:$A$2000,$A33,Måned!$C$5:$C$2000,MONTH(Z$5+3))+SUMPRODUCT((Vinduer!$A$5:$A$300=$A33)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3" s="19">
        <f>IF($A33="","",IF(COUNTIFS(Måned!$A$5:$A$2000,$A33,Måned!$C$5:$C$2000,MONTH(AA$5+3))=0,"",MAX(1,MIN(5,SUMIFS(Måned!$H$5:$H$2000,Måned!$A$5:$A$2000,$A33,Måned!$C$5:$C$2000,MONTH(AA$5+3))+SUMPRODUCT((Vinduer!$A$5:$A$300=$A33)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3" s="19">
        <f>IF($A33="","",IF(COUNTIFS(Måned!$A$5:$A$2000,$A33,Måned!$C$5:$C$2000,MONTH(AB$5+3))=0,"",MAX(1,MIN(5,SUMIFS(Måned!$H$5:$H$2000,Måned!$A$5:$A$2000,$A33,Måned!$C$5:$C$2000,MONTH(AB$5+3))+SUMPRODUCT((Vinduer!$A$5:$A$300=$A33)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3" s="19">
        <f>IF($A33="","",IF(COUNTIFS(Måned!$A$5:$A$2000,$A33,Måned!$C$5:$C$2000,MONTH(AC$5+3))=0,"",MAX(1,MIN(5,SUMIFS(Måned!$H$5:$H$2000,Måned!$A$5:$A$2000,$A33,Måned!$C$5:$C$2000,MONTH(AC$5+3))+SUMPRODUCT((Vinduer!$A$5:$A$300=$A33)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3" s="19">
        <f>IF($A33="","",IF(COUNTIFS(Måned!$A$5:$A$2000,$A33,Måned!$C$5:$C$2000,MONTH(AD$5+3))=0,"",MAX(1,MIN(5,SUMIFS(Måned!$H$5:$H$2000,Måned!$A$5:$A$2000,$A33,Måned!$C$5:$C$2000,MONTH(AD$5+3))+SUMPRODUCT((Vinduer!$A$5:$A$300=$A33)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3" s="19">
        <f>IF($A33="","",IF(COUNTIFS(Måned!$A$5:$A$2000,$A33,Måned!$C$5:$C$2000,MONTH(AE$5+3))=0,"",MAX(1,MIN(5,SUMIFS(Måned!$H$5:$H$2000,Måned!$A$5:$A$2000,$A33,Måned!$C$5:$C$2000,MONTH(AE$5+3))+SUMPRODUCT((Vinduer!$A$5:$A$300=$A33)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3" s="19">
        <f>IF($A33="","",IF(COUNTIFS(Måned!$A$5:$A$2000,$A33,Måned!$C$5:$C$2000,MONTH(AF$5+3))=0,"",MAX(1,MIN(5,SUMIFS(Måned!$H$5:$H$2000,Måned!$A$5:$A$2000,$A33,Måned!$C$5:$C$2000,MONTH(AF$5+3))+SUMPRODUCT((Vinduer!$A$5:$A$300=$A33)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3" s="19">
        <f>IF($A33="","",IF(COUNTIFS(Måned!$A$5:$A$2000,$A33,Måned!$C$5:$C$2000,MONTH(AG$5+3))=0,"",MAX(1,MIN(5,SUMIFS(Måned!$H$5:$H$2000,Måned!$A$5:$A$2000,$A33,Måned!$C$5:$C$2000,MONTH(AG$5+3))+SUMPRODUCT((Vinduer!$A$5:$A$300=$A33)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3" s="19">
        <f>IF($A33="","",IF(COUNTIFS(Måned!$A$5:$A$2000,$A33,Måned!$C$5:$C$2000,MONTH(AH$5+3))=0,"",MAX(1,MIN(5,SUMIFS(Måned!$H$5:$H$2000,Måned!$A$5:$A$2000,$A33,Måned!$C$5:$C$2000,MONTH(AH$5+3))+SUMPRODUCT((Vinduer!$A$5:$A$300=$A33)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3" s="19">
        <f>IF($A33="","",IF(COUNTIFS(Måned!$A$5:$A$2000,$A33,Måned!$C$5:$C$2000,MONTH(AI$5+3))=0,"",MAX(1,MIN(5,SUMIFS(Måned!$H$5:$H$2000,Måned!$A$5:$A$2000,$A33,Måned!$C$5:$C$2000,MONTH(AI$5+3))+SUMPRODUCT((Vinduer!$A$5:$A$300=$A33)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3" s="19">
        <f>IF($A33="","",IF(COUNTIFS(Måned!$A$5:$A$2000,$A33,Måned!$C$5:$C$2000,MONTH(AJ$5+3))=0,"",MAX(1,MIN(5,SUMIFS(Måned!$H$5:$H$2000,Måned!$A$5:$A$2000,$A33,Måned!$C$5:$C$2000,MONTH(AJ$5+3))+SUMPRODUCT((Vinduer!$A$5:$A$300=$A33)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3" s="19">
        <f>IF($A33="","",IF(COUNTIFS(Måned!$A$5:$A$2000,$A33,Måned!$C$5:$C$2000,MONTH(AK$5+3))=0,"",MAX(1,MIN(5,SUMIFS(Måned!$H$5:$H$2000,Måned!$A$5:$A$2000,$A33,Måned!$C$5:$C$2000,MONTH(AK$5+3))+SUMPRODUCT((Vinduer!$A$5:$A$300=$A33)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3" s="19">
        <f>IF($A33="","",IF(COUNTIFS(Måned!$A$5:$A$2000,$A33,Måned!$C$5:$C$2000,MONTH(AL$5+3))=0,"",MAX(1,MIN(5,SUMIFS(Måned!$H$5:$H$2000,Måned!$A$5:$A$2000,$A33,Måned!$C$5:$C$2000,MONTH(AL$5+3))+SUMPRODUCT((Vinduer!$A$5:$A$300=$A33)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3" s="19">
        <f>IF($A33="","",IF(COUNTIFS(Måned!$A$5:$A$2000,$A33,Måned!$C$5:$C$2000,MONTH(AM$5+3))=0,"",MAX(1,MIN(5,SUMIFS(Måned!$H$5:$H$2000,Måned!$A$5:$A$2000,$A33,Måned!$C$5:$C$2000,MONTH(AM$5+3))+SUMPRODUCT((Vinduer!$A$5:$A$300=$A33)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3" s="19">
        <f>IF($A33="","",IF(COUNTIFS(Måned!$A$5:$A$2000,$A33,Måned!$C$5:$C$2000,MONTH(AN$5+3))=0,"",MAX(1,MIN(5,SUMIFS(Måned!$H$5:$H$2000,Måned!$A$5:$A$2000,$A33,Måned!$C$5:$C$2000,MONTH(AN$5+3))+SUMPRODUCT((Vinduer!$A$5:$A$300=$A33)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3" s="19">
        <f>IF($A33="","",IF(COUNTIFS(Måned!$A$5:$A$2000,$A33,Måned!$C$5:$C$2000,MONTH(AO$5+3))=0,"",MAX(1,MIN(5,SUMIFS(Måned!$H$5:$H$2000,Måned!$A$5:$A$2000,$A33,Måned!$C$5:$C$2000,MONTH(AO$5+3))+SUMPRODUCT((Vinduer!$A$5:$A$300=$A33)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3" s="19">
        <f>IF($A33="","",IF(COUNTIFS(Måned!$A$5:$A$2000,$A33,Måned!$C$5:$C$2000,MONTH(AP$5+3))=0,"",MAX(1,MIN(5,SUMIFS(Måned!$H$5:$H$2000,Måned!$A$5:$A$2000,$A33,Måned!$C$5:$C$2000,MONTH(AP$5+3))+SUMPRODUCT((Vinduer!$A$5:$A$300=$A33)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3" s="19">
        <f>IF($A33="","",IF(COUNTIFS(Måned!$A$5:$A$2000,$A33,Måned!$C$5:$C$2000,MONTH(AQ$5+3))=0,"",MAX(1,MIN(5,SUMIFS(Måned!$H$5:$H$2000,Måned!$A$5:$A$2000,$A33,Måned!$C$5:$C$2000,MONTH(AQ$5+3))+SUMPRODUCT((Vinduer!$A$5:$A$300=$A33)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3" s="19">
        <f>IF($A33="","",IF(COUNTIFS(Måned!$A$5:$A$2000,$A33,Måned!$C$5:$C$2000,MONTH(AR$5+3))=0,"",MAX(1,MIN(5,SUMIFS(Måned!$H$5:$H$2000,Måned!$A$5:$A$2000,$A33,Måned!$C$5:$C$2000,MONTH(AR$5+3))+SUMPRODUCT((Vinduer!$A$5:$A$300=$A33)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3" s="19">
        <f>IF($A33="","",IF(COUNTIFS(Måned!$A$5:$A$2000,$A33,Måned!$C$5:$C$2000,MONTH(AS$5+3))=0,"",MAX(1,MIN(5,SUMIFS(Måned!$H$5:$H$2000,Måned!$A$5:$A$2000,$A33,Måned!$C$5:$C$2000,MONTH(AS$5+3))+SUMPRODUCT((Vinduer!$A$5:$A$300=$A33)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3" s="19">
        <f>IF($A33="","",IF(COUNTIFS(Måned!$A$5:$A$2000,$A33,Måned!$C$5:$C$2000,MONTH(AT$5+3))=0,"",MAX(1,MIN(5,SUMIFS(Måned!$H$5:$H$2000,Måned!$A$5:$A$2000,$A33,Måned!$C$5:$C$2000,MONTH(AT$5+3))+SUMPRODUCT((Vinduer!$A$5:$A$300=$A33)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3" s="19">
        <f>IF($A33="","",IF(COUNTIFS(Måned!$A$5:$A$2000,$A33,Måned!$C$5:$C$2000,MONTH(AU$5+3))=0,"",MAX(1,MIN(5,SUMIFS(Måned!$H$5:$H$2000,Måned!$A$5:$A$2000,$A33,Måned!$C$5:$C$2000,MONTH(AU$5+3))+SUMPRODUCT((Vinduer!$A$5:$A$300=$A33)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3" s="19">
        <f>IF($A33="","",IF(COUNTIFS(Måned!$A$5:$A$2000,$A33,Måned!$C$5:$C$2000,MONTH(AV$5+3))=0,"",MAX(1,MIN(5,SUMIFS(Måned!$H$5:$H$2000,Måned!$A$5:$A$2000,$A33,Måned!$C$5:$C$2000,MONTH(AV$5+3))+SUMPRODUCT((Vinduer!$A$5:$A$300=$A33)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3" s="19">
        <f>IF($A33="","",IF(COUNTIFS(Måned!$A$5:$A$2000,$A33,Måned!$C$5:$C$2000,MONTH(AW$5+3))=0,"",MAX(1,MIN(5,SUMIFS(Måned!$H$5:$H$2000,Måned!$A$5:$A$2000,$A33,Måned!$C$5:$C$2000,MONTH(AW$5+3))+SUMPRODUCT((Vinduer!$A$5:$A$300=$A33)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3" s="19">
        <f>IF($A33="","",IF(COUNTIFS(Måned!$A$5:$A$2000,$A33,Måned!$C$5:$C$2000,MONTH(AX$5+3))=0,"",MAX(1,MIN(5,SUMIFS(Måned!$H$5:$H$2000,Måned!$A$5:$A$2000,$A33,Måned!$C$5:$C$2000,MONTH(AX$5+3))+SUMPRODUCT((Vinduer!$A$5:$A$300=$A33)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3" s="19">
        <f>IF($A33="","",IF(COUNTIFS(Måned!$A$5:$A$2000,$A33,Måned!$C$5:$C$2000,MONTH(AY$5+3))=0,"",MAX(1,MIN(5,SUMIFS(Måned!$H$5:$H$2000,Måned!$A$5:$A$2000,$A33,Måned!$C$5:$C$2000,MONTH(AY$5+3))+SUMPRODUCT((Vinduer!$A$5:$A$300=$A33)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3" s="19">
        <f>IF($A33="","",IF(COUNTIFS(Måned!$A$5:$A$2000,$A33,Måned!$C$5:$C$2000,MONTH(AZ$5+3))=0,"",MAX(1,MIN(5,SUMIFS(Måned!$H$5:$H$2000,Måned!$A$5:$A$2000,$A33,Måned!$C$5:$C$2000,MONTH(AZ$5+3))+SUMPRODUCT((Vinduer!$A$5:$A$300=$A33)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3" s="19">
        <f>IF($A33="","",IF(COUNTIFS(Måned!$A$5:$A$2000,$A33,Måned!$C$5:$C$2000,MONTH(BA$5+3))=0,"",MAX(1,MIN(5,SUMIFS(Måned!$H$5:$H$2000,Måned!$A$5:$A$2000,$A33,Måned!$C$5:$C$2000,MONTH(BA$5+3))+SUMPRODUCT((Vinduer!$A$5:$A$300=$A33)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3" s="19">
        <f>IF($A33="","",IF(COUNTIFS(Måned!$A$5:$A$2000,$A33,Måned!$C$5:$C$2000,MONTH(BB$5+3))=0,"",MAX(1,MIN(5,SUMIFS(Måned!$H$5:$H$2000,Måned!$A$5:$A$2000,$A33,Måned!$C$5:$C$2000,MONTH(BB$5+3))+SUMPRODUCT((Vinduer!$A$5:$A$300=$A33)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3" s="19">
        <f>IF($A33="","",IF(COUNTIFS(Måned!$A$5:$A$2000,$A33,Måned!$C$5:$C$2000,MONTH(BC$5+3))=0,"",MAX(1,MIN(5,SUMIFS(Måned!$H$5:$H$2000,Måned!$A$5:$A$2000,$A33,Måned!$C$5:$C$2000,MONTH(BC$5+3))+SUMPRODUCT((Vinduer!$A$5:$A$300=$A33)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3" s="19">
        <f>IF($A33="","",IF(COUNTIFS(Måned!$A$5:$A$2000,$A33,Måned!$C$5:$C$2000,MONTH(BD$5+3))=0,"",MAX(1,MIN(5,SUMIFS(Måned!$H$5:$H$2000,Måned!$A$5:$A$2000,$A33,Måned!$C$5:$C$2000,MONTH(BD$5+3))+SUMPRODUCT((Vinduer!$A$5:$A$300=$A33)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3" s="19">
        <f>IF($A33="","",IF(COUNTIFS(Måned!$A$5:$A$2000,$A33,Måned!$C$5:$C$2000,MONTH(BE$5+3))=0,"",MAX(1,MIN(5,SUMIFS(Måned!$H$5:$H$2000,Måned!$A$5:$A$2000,$A33,Måned!$C$5:$C$2000,MONTH(BE$5+3))+SUMPRODUCT((Vinduer!$A$5:$A$300=$A33)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4">
      <c r="A34" s="5">
        <f>IF(Destinasjoner!A30="","",Destinasjoner!A30)</f>
        <v/>
      </c>
      <c r="B34" s="5">
        <f>IF(A34="","",Destinasjoner!E30)</f>
        <v/>
      </c>
      <c r="C34" s="5">
        <f>IF(A34="","",Destinasjoner!B30)</f>
        <v/>
      </c>
      <c r="D34" s="17">
        <f>IFERROR(SUMIFS(F34:BE34,$F$7:$BE$7,"x")/COUNTIFS($F$7:$BE$7,"x",F34:BE34,"&gt;0"),"")</f>
        <v/>
      </c>
      <c r="E34" s="18">
        <f>IF(D34="","",_xlfn.MINIFS(F34:BE34,$F$7:$BE$7,"x",F34:BE34,"&gt;0"))</f>
        <v/>
      </c>
      <c r="F34" s="19">
        <f>IF($A34="","",IF(COUNTIFS(Måned!$A$5:$A$2000,$A34,Måned!$C$5:$C$2000,MONTH(F$5+3))=0,"",MAX(1,MIN(5,SUMIFS(Måned!$H$5:$H$2000,Måned!$A$5:$A$2000,$A34,Måned!$C$5:$C$2000,MONTH(F$5+3))+SUMPRODUCT((Vinduer!$A$5:$A$300=$A34)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4" s="19">
        <f>IF($A34="","",IF(COUNTIFS(Måned!$A$5:$A$2000,$A34,Måned!$C$5:$C$2000,MONTH(G$5+3))=0,"",MAX(1,MIN(5,SUMIFS(Måned!$H$5:$H$2000,Måned!$A$5:$A$2000,$A34,Måned!$C$5:$C$2000,MONTH(G$5+3))+SUMPRODUCT((Vinduer!$A$5:$A$300=$A34)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4" s="19">
        <f>IF($A34="","",IF(COUNTIFS(Måned!$A$5:$A$2000,$A34,Måned!$C$5:$C$2000,MONTH(H$5+3))=0,"",MAX(1,MIN(5,SUMIFS(Måned!$H$5:$H$2000,Måned!$A$5:$A$2000,$A34,Måned!$C$5:$C$2000,MONTH(H$5+3))+SUMPRODUCT((Vinduer!$A$5:$A$300=$A34)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4" s="19">
        <f>IF($A34="","",IF(COUNTIFS(Måned!$A$5:$A$2000,$A34,Måned!$C$5:$C$2000,MONTH(I$5+3))=0,"",MAX(1,MIN(5,SUMIFS(Måned!$H$5:$H$2000,Måned!$A$5:$A$2000,$A34,Måned!$C$5:$C$2000,MONTH(I$5+3))+SUMPRODUCT((Vinduer!$A$5:$A$300=$A34)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4" s="19">
        <f>IF($A34="","",IF(COUNTIFS(Måned!$A$5:$A$2000,$A34,Måned!$C$5:$C$2000,MONTH(J$5+3))=0,"",MAX(1,MIN(5,SUMIFS(Måned!$H$5:$H$2000,Måned!$A$5:$A$2000,$A34,Måned!$C$5:$C$2000,MONTH(J$5+3))+SUMPRODUCT((Vinduer!$A$5:$A$300=$A34)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4" s="19">
        <f>IF($A34="","",IF(COUNTIFS(Måned!$A$5:$A$2000,$A34,Måned!$C$5:$C$2000,MONTH(K$5+3))=0,"",MAX(1,MIN(5,SUMIFS(Måned!$H$5:$H$2000,Måned!$A$5:$A$2000,$A34,Måned!$C$5:$C$2000,MONTH(K$5+3))+SUMPRODUCT((Vinduer!$A$5:$A$300=$A34)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4" s="19">
        <f>IF($A34="","",IF(COUNTIFS(Måned!$A$5:$A$2000,$A34,Måned!$C$5:$C$2000,MONTH(L$5+3))=0,"",MAX(1,MIN(5,SUMIFS(Måned!$H$5:$H$2000,Måned!$A$5:$A$2000,$A34,Måned!$C$5:$C$2000,MONTH(L$5+3))+SUMPRODUCT((Vinduer!$A$5:$A$300=$A34)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4" s="19">
        <f>IF($A34="","",IF(COUNTIFS(Måned!$A$5:$A$2000,$A34,Måned!$C$5:$C$2000,MONTH(M$5+3))=0,"",MAX(1,MIN(5,SUMIFS(Måned!$H$5:$H$2000,Måned!$A$5:$A$2000,$A34,Måned!$C$5:$C$2000,MONTH(M$5+3))+SUMPRODUCT((Vinduer!$A$5:$A$300=$A34)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4" s="19">
        <f>IF($A34="","",IF(COUNTIFS(Måned!$A$5:$A$2000,$A34,Måned!$C$5:$C$2000,MONTH(N$5+3))=0,"",MAX(1,MIN(5,SUMIFS(Måned!$H$5:$H$2000,Måned!$A$5:$A$2000,$A34,Måned!$C$5:$C$2000,MONTH(N$5+3))+SUMPRODUCT((Vinduer!$A$5:$A$300=$A34)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4" s="19">
        <f>IF($A34="","",IF(COUNTIFS(Måned!$A$5:$A$2000,$A34,Måned!$C$5:$C$2000,MONTH(O$5+3))=0,"",MAX(1,MIN(5,SUMIFS(Måned!$H$5:$H$2000,Måned!$A$5:$A$2000,$A34,Måned!$C$5:$C$2000,MONTH(O$5+3))+SUMPRODUCT((Vinduer!$A$5:$A$300=$A34)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4" s="19">
        <f>IF($A34="","",IF(COUNTIFS(Måned!$A$5:$A$2000,$A34,Måned!$C$5:$C$2000,MONTH(P$5+3))=0,"",MAX(1,MIN(5,SUMIFS(Måned!$H$5:$H$2000,Måned!$A$5:$A$2000,$A34,Måned!$C$5:$C$2000,MONTH(P$5+3))+SUMPRODUCT((Vinduer!$A$5:$A$300=$A34)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4" s="19">
        <f>IF($A34="","",IF(COUNTIFS(Måned!$A$5:$A$2000,$A34,Måned!$C$5:$C$2000,MONTH(Q$5+3))=0,"",MAX(1,MIN(5,SUMIFS(Måned!$H$5:$H$2000,Måned!$A$5:$A$2000,$A34,Måned!$C$5:$C$2000,MONTH(Q$5+3))+SUMPRODUCT((Vinduer!$A$5:$A$300=$A34)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4" s="19">
        <f>IF($A34="","",IF(COUNTIFS(Måned!$A$5:$A$2000,$A34,Måned!$C$5:$C$2000,MONTH(R$5+3))=0,"",MAX(1,MIN(5,SUMIFS(Måned!$H$5:$H$2000,Måned!$A$5:$A$2000,$A34,Måned!$C$5:$C$2000,MONTH(R$5+3))+SUMPRODUCT((Vinduer!$A$5:$A$300=$A34)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4" s="19">
        <f>IF($A34="","",IF(COUNTIFS(Måned!$A$5:$A$2000,$A34,Måned!$C$5:$C$2000,MONTH(S$5+3))=0,"",MAX(1,MIN(5,SUMIFS(Måned!$H$5:$H$2000,Måned!$A$5:$A$2000,$A34,Måned!$C$5:$C$2000,MONTH(S$5+3))+SUMPRODUCT((Vinduer!$A$5:$A$300=$A34)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4" s="19">
        <f>IF($A34="","",IF(COUNTIFS(Måned!$A$5:$A$2000,$A34,Måned!$C$5:$C$2000,MONTH(T$5+3))=0,"",MAX(1,MIN(5,SUMIFS(Måned!$H$5:$H$2000,Måned!$A$5:$A$2000,$A34,Måned!$C$5:$C$2000,MONTH(T$5+3))+SUMPRODUCT((Vinduer!$A$5:$A$300=$A34)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4" s="19">
        <f>IF($A34="","",IF(COUNTIFS(Måned!$A$5:$A$2000,$A34,Måned!$C$5:$C$2000,MONTH(U$5+3))=0,"",MAX(1,MIN(5,SUMIFS(Måned!$H$5:$H$2000,Måned!$A$5:$A$2000,$A34,Måned!$C$5:$C$2000,MONTH(U$5+3))+SUMPRODUCT((Vinduer!$A$5:$A$300=$A34)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4" s="19">
        <f>IF($A34="","",IF(COUNTIFS(Måned!$A$5:$A$2000,$A34,Måned!$C$5:$C$2000,MONTH(V$5+3))=0,"",MAX(1,MIN(5,SUMIFS(Måned!$H$5:$H$2000,Måned!$A$5:$A$2000,$A34,Måned!$C$5:$C$2000,MONTH(V$5+3))+SUMPRODUCT((Vinduer!$A$5:$A$300=$A34)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4" s="19">
        <f>IF($A34="","",IF(COUNTIFS(Måned!$A$5:$A$2000,$A34,Måned!$C$5:$C$2000,MONTH(W$5+3))=0,"",MAX(1,MIN(5,SUMIFS(Måned!$H$5:$H$2000,Måned!$A$5:$A$2000,$A34,Måned!$C$5:$C$2000,MONTH(W$5+3))+SUMPRODUCT((Vinduer!$A$5:$A$300=$A34)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4" s="19">
        <f>IF($A34="","",IF(COUNTIFS(Måned!$A$5:$A$2000,$A34,Måned!$C$5:$C$2000,MONTH(X$5+3))=0,"",MAX(1,MIN(5,SUMIFS(Måned!$H$5:$H$2000,Måned!$A$5:$A$2000,$A34,Måned!$C$5:$C$2000,MONTH(X$5+3))+SUMPRODUCT((Vinduer!$A$5:$A$300=$A34)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4" s="19">
        <f>IF($A34="","",IF(COUNTIFS(Måned!$A$5:$A$2000,$A34,Måned!$C$5:$C$2000,MONTH(Y$5+3))=0,"",MAX(1,MIN(5,SUMIFS(Måned!$H$5:$H$2000,Måned!$A$5:$A$2000,$A34,Måned!$C$5:$C$2000,MONTH(Y$5+3))+SUMPRODUCT((Vinduer!$A$5:$A$300=$A34)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4" s="19">
        <f>IF($A34="","",IF(COUNTIFS(Måned!$A$5:$A$2000,$A34,Måned!$C$5:$C$2000,MONTH(Z$5+3))=0,"",MAX(1,MIN(5,SUMIFS(Måned!$H$5:$H$2000,Måned!$A$5:$A$2000,$A34,Måned!$C$5:$C$2000,MONTH(Z$5+3))+SUMPRODUCT((Vinduer!$A$5:$A$300=$A34)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4" s="19">
        <f>IF($A34="","",IF(COUNTIFS(Måned!$A$5:$A$2000,$A34,Måned!$C$5:$C$2000,MONTH(AA$5+3))=0,"",MAX(1,MIN(5,SUMIFS(Måned!$H$5:$H$2000,Måned!$A$5:$A$2000,$A34,Måned!$C$5:$C$2000,MONTH(AA$5+3))+SUMPRODUCT((Vinduer!$A$5:$A$300=$A34)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4" s="19">
        <f>IF($A34="","",IF(COUNTIFS(Måned!$A$5:$A$2000,$A34,Måned!$C$5:$C$2000,MONTH(AB$5+3))=0,"",MAX(1,MIN(5,SUMIFS(Måned!$H$5:$H$2000,Måned!$A$5:$A$2000,$A34,Måned!$C$5:$C$2000,MONTH(AB$5+3))+SUMPRODUCT((Vinduer!$A$5:$A$300=$A34)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4" s="19">
        <f>IF($A34="","",IF(COUNTIFS(Måned!$A$5:$A$2000,$A34,Måned!$C$5:$C$2000,MONTH(AC$5+3))=0,"",MAX(1,MIN(5,SUMIFS(Måned!$H$5:$H$2000,Måned!$A$5:$A$2000,$A34,Måned!$C$5:$C$2000,MONTH(AC$5+3))+SUMPRODUCT((Vinduer!$A$5:$A$300=$A34)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4" s="19">
        <f>IF($A34="","",IF(COUNTIFS(Måned!$A$5:$A$2000,$A34,Måned!$C$5:$C$2000,MONTH(AD$5+3))=0,"",MAX(1,MIN(5,SUMIFS(Måned!$H$5:$H$2000,Måned!$A$5:$A$2000,$A34,Måned!$C$5:$C$2000,MONTH(AD$5+3))+SUMPRODUCT((Vinduer!$A$5:$A$300=$A34)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4" s="19">
        <f>IF($A34="","",IF(COUNTIFS(Måned!$A$5:$A$2000,$A34,Måned!$C$5:$C$2000,MONTH(AE$5+3))=0,"",MAX(1,MIN(5,SUMIFS(Måned!$H$5:$H$2000,Måned!$A$5:$A$2000,$A34,Måned!$C$5:$C$2000,MONTH(AE$5+3))+SUMPRODUCT((Vinduer!$A$5:$A$300=$A34)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4" s="19">
        <f>IF($A34="","",IF(COUNTIFS(Måned!$A$5:$A$2000,$A34,Måned!$C$5:$C$2000,MONTH(AF$5+3))=0,"",MAX(1,MIN(5,SUMIFS(Måned!$H$5:$H$2000,Måned!$A$5:$A$2000,$A34,Måned!$C$5:$C$2000,MONTH(AF$5+3))+SUMPRODUCT((Vinduer!$A$5:$A$300=$A34)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4" s="19">
        <f>IF($A34="","",IF(COUNTIFS(Måned!$A$5:$A$2000,$A34,Måned!$C$5:$C$2000,MONTH(AG$5+3))=0,"",MAX(1,MIN(5,SUMIFS(Måned!$H$5:$H$2000,Måned!$A$5:$A$2000,$A34,Måned!$C$5:$C$2000,MONTH(AG$5+3))+SUMPRODUCT((Vinduer!$A$5:$A$300=$A34)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4" s="19">
        <f>IF($A34="","",IF(COUNTIFS(Måned!$A$5:$A$2000,$A34,Måned!$C$5:$C$2000,MONTH(AH$5+3))=0,"",MAX(1,MIN(5,SUMIFS(Måned!$H$5:$H$2000,Måned!$A$5:$A$2000,$A34,Måned!$C$5:$C$2000,MONTH(AH$5+3))+SUMPRODUCT((Vinduer!$A$5:$A$300=$A34)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4" s="19">
        <f>IF($A34="","",IF(COUNTIFS(Måned!$A$5:$A$2000,$A34,Måned!$C$5:$C$2000,MONTH(AI$5+3))=0,"",MAX(1,MIN(5,SUMIFS(Måned!$H$5:$H$2000,Måned!$A$5:$A$2000,$A34,Måned!$C$5:$C$2000,MONTH(AI$5+3))+SUMPRODUCT((Vinduer!$A$5:$A$300=$A34)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4" s="19">
        <f>IF($A34="","",IF(COUNTIFS(Måned!$A$5:$A$2000,$A34,Måned!$C$5:$C$2000,MONTH(AJ$5+3))=0,"",MAX(1,MIN(5,SUMIFS(Måned!$H$5:$H$2000,Måned!$A$5:$A$2000,$A34,Måned!$C$5:$C$2000,MONTH(AJ$5+3))+SUMPRODUCT((Vinduer!$A$5:$A$300=$A34)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4" s="19">
        <f>IF($A34="","",IF(COUNTIFS(Måned!$A$5:$A$2000,$A34,Måned!$C$5:$C$2000,MONTH(AK$5+3))=0,"",MAX(1,MIN(5,SUMIFS(Måned!$H$5:$H$2000,Måned!$A$5:$A$2000,$A34,Måned!$C$5:$C$2000,MONTH(AK$5+3))+SUMPRODUCT((Vinduer!$A$5:$A$300=$A34)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4" s="19">
        <f>IF($A34="","",IF(COUNTIFS(Måned!$A$5:$A$2000,$A34,Måned!$C$5:$C$2000,MONTH(AL$5+3))=0,"",MAX(1,MIN(5,SUMIFS(Måned!$H$5:$H$2000,Måned!$A$5:$A$2000,$A34,Måned!$C$5:$C$2000,MONTH(AL$5+3))+SUMPRODUCT((Vinduer!$A$5:$A$300=$A34)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4" s="19">
        <f>IF($A34="","",IF(COUNTIFS(Måned!$A$5:$A$2000,$A34,Måned!$C$5:$C$2000,MONTH(AM$5+3))=0,"",MAX(1,MIN(5,SUMIFS(Måned!$H$5:$H$2000,Måned!$A$5:$A$2000,$A34,Måned!$C$5:$C$2000,MONTH(AM$5+3))+SUMPRODUCT((Vinduer!$A$5:$A$300=$A34)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4" s="19">
        <f>IF($A34="","",IF(COUNTIFS(Måned!$A$5:$A$2000,$A34,Måned!$C$5:$C$2000,MONTH(AN$5+3))=0,"",MAX(1,MIN(5,SUMIFS(Måned!$H$5:$H$2000,Måned!$A$5:$A$2000,$A34,Måned!$C$5:$C$2000,MONTH(AN$5+3))+SUMPRODUCT((Vinduer!$A$5:$A$300=$A34)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4" s="19">
        <f>IF($A34="","",IF(COUNTIFS(Måned!$A$5:$A$2000,$A34,Måned!$C$5:$C$2000,MONTH(AO$5+3))=0,"",MAX(1,MIN(5,SUMIFS(Måned!$H$5:$H$2000,Måned!$A$5:$A$2000,$A34,Måned!$C$5:$C$2000,MONTH(AO$5+3))+SUMPRODUCT((Vinduer!$A$5:$A$300=$A34)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4" s="19">
        <f>IF($A34="","",IF(COUNTIFS(Måned!$A$5:$A$2000,$A34,Måned!$C$5:$C$2000,MONTH(AP$5+3))=0,"",MAX(1,MIN(5,SUMIFS(Måned!$H$5:$H$2000,Måned!$A$5:$A$2000,$A34,Måned!$C$5:$C$2000,MONTH(AP$5+3))+SUMPRODUCT((Vinduer!$A$5:$A$300=$A34)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4" s="19">
        <f>IF($A34="","",IF(COUNTIFS(Måned!$A$5:$A$2000,$A34,Måned!$C$5:$C$2000,MONTH(AQ$5+3))=0,"",MAX(1,MIN(5,SUMIFS(Måned!$H$5:$H$2000,Måned!$A$5:$A$2000,$A34,Måned!$C$5:$C$2000,MONTH(AQ$5+3))+SUMPRODUCT((Vinduer!$A$5:$A$300=$A34)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4" s="19">
        <f>IF($A34="","",IF(COUNTIFS(Måned!$A$5:$A$2000,$A34,Måned!$C$5:$C$2000,MONTH(AR$5+3))=0,"",MAX(1,MIN(5,SUMIFS(Måned!$H$5:$H$2000,Måned!$A$5:$A$2000,$A34,Måned!$C$5:$C$2000,MONTH(AR$5+3))+SUMPRODUCT((Vinduer!$A$5:$A$300=$A34)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4" s="19">
        <f>IF($A34="","",IF(COUNTIFS(Måned!$A$5:$A$2000,$A34,Måned!$C$5:$C$2000,MONTH(AS$5+3))=0,"",MAX(1,MIN(5,SUMIFS(Måned!$H$5:$H$2000,Måned!$A$5:$A$2000,$A34,Måned!$C$5:$C$2000,MONTH(AS$5+3))+SUMPRODUCT((Vinduer!$A$5:$A$300=$A34)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4" s="19">
        <f>IF($A34="","",IF(COUNTIFS(Måned!$A$5:$A$2000,$A34,Måned!$C$5:$C$2000,MONTH(AT$5+3))=0,"",MAX(1,MIN(5,SUMIFS(Måned!$H$5:$H$2000,Måned!$A$5:$A$2000,$A34,Måned!$C$5:$C$2000,MONTH(AT$5+3))+SUMPRODUCT((Vinduer!$A$5:$A$300=$A34)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4" s="19">
        <f>IF($A34="","",IF(COUNTIFS(Måned!$A$5:$A$2000,$A34,Måned!$C$5:$C$2000,MONTH(AU$5+3))=0,"",MAX(1,MIN(5,SUMIFS(Måned!$H$5:$H$2000,Måned!$A$5:$A$2000,$A34,Måned!$C$5:$C$2000,MONTH(AU$5+3))+SUMPRODUCT((Vinduer!$A$5:$A$300=$A34)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4" s="19">
        <f>IF($A34="","",IF(COUNTIFS(Måned!$A$5:$A$2000,$A34,Måned!$C$5:$C$2000,MONTH(AV$5+3))=0,"",MAX(1,MIN(5,SUMIFS(Måned!$H$5:$H$2000,Måned!$A$5:$A$2000,$A34,Måned!$C$5:$C$2000,MONTH(AV$5+3))+SUMPRODUCT((Vinduer!$A$5:$A$300=$A34)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4" s="19">
        <f>IF($A34="","",IF(COUNTIFS(Måned!$A$5:$A$2000,$A34,Måned!$C$5:$C$2000,MONTH(AW$5+3))=0,"",MAX(1,MIN(5,SUMIFS(Måned!$H$5:$H$2000,Måned!$A$5:$A$2000,$A34,Måned!$C$5:$C$2000,MONTH(AW$5+3))+SUMPRODUCT((Vinduer!$A$5:$A$300=$A34)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4" s="19">
        <f>IF($A34="","",IF(COUNTIFS(Måned!$A$5:$A$2000,$A34,Måned!$C$5:$C$2000,MONTH(AX$5+3))=0,"",MAX(1,MIN(5,SUMIFS(Måned!$H$5:$H$2000,Måned!$A$5:$A$2000,$A34,Måned!$C$5:$C$2000,MONTH(AX$5+3))+SUMPRODUCT((Vinduer!$A$5:$A$300=$A34)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4" s="19">
        <f>IF($A34="","",IF(COUNTIFS(Måned!$A$5:$A$2000,$A34,Måned!$C$5:$C$2000,MONTH(AY$5+3))=0,"",MAX(1,MIN(5,SUMIFS(Måned!$H$5:$H$2000,Måned!$A$5:$A$2000,$A34,Måned!$C$5:$C$2000,MONTH(AY$5+3))+SUMPRODUCT((Vinduer!$A$5:$A$300=$A34)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4" s="19">
        <f>IF($A34="","",IF(COUNTIFS(Måned!$A$5:$A$2000,$A34,Måned!$C$5:$C$2000,MONTH(AZ$5+3))=0,"",MAX(1,MIN(5,SUMIFS(Måned!$H$5:$H$2000,Måned!$A$5:$A$2000,$A34,Måned!$C$5:$C$2000,MONTH(AZ$5+3))+SUMPRODUCT((Vinduer!$A$5:$A$300=$A34)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4" s="19">
        <f>IF($A34="","",IF(COUNTIFS(Måned!$A$5:$A$2000,$A34,Måned!$C$5:$C$2000,MONTH(BA$5+3))=0,"",MAX(1,MIN(5,SUMIFS(Måned!$H$5:$H$2000,Måned!$A$5:$A$2000,$A34,Måned!$C$5:$C$2000,MONTH(BA$5+3))+SUMPRODUCT((Vinduer!$A$5:$A$300=$A34)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4" s="19">
        <f>IF($A34="","",IF(COUNTIFS(Måned!$A$5:$A$2000,$A34,Måned!$C$5:$C$2000,MONTH(BB$5+3))=0,"",MAX(1,MIN(5,SUMIFS(Måned!$H$5:$H$2000,Måned!$A$5:$A$2000,$A34,Måned!$C$5:$C$2000,MONTH(BB$5+3))+SUMPRODUCT((Vinduer!$A$5:$A$300=$A34)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4" s="19">
        <f>IF($A34="","",IF(COUNTIFS(Måned!$A$5:$A$2000,$A34,Måned!$C$5:$C$2000,MONTH(BC$5+3))=0,"",MAX(1,MIN(5,SUMIFS(Måned!$H$5:$H$2000,Måned!$A$5:$A$2000,$A34,Måned!$C$5:$C$2000,MONTH(BC$5+3))+SUMPRODUCT((Vinduer!$A$5:$A$300=$A34)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4" s="19">
        <f>IF($A34="","",IF(COUNTIFS(Måned!$A$5:$A$2000,$A34,Måned!$C$5:$C$2000,MONTH(BD$5+3))=0,"",MAX(1,MIN(5,SUMIFS(Måned!$H$5:$H$2000,Måned!$A$5:$A$2000,$A34,Måned!$C$5:$C$2000,MONTH(BD$5+3))+SUMPRODUCT((Vinduer!$A$5:$A$300=$A34)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4" s="19">
        <f>IF($A34="","",IF(COUNTIFS(Måned!$A$5:$A$2000,$A34,Måned!$C$5:$C$2000,MONTH(BE$5+3))=0,"",MAX(1,MIN(5,SUMIFS(Måned!$H$5:$H$2000,Måned!$A$5:$A$2000,$A34,Måned!$C$5:$C$2000,MONTH(BE$5+3))+SUMPRODUCT((Vinduer!$A$5:$A$300=$A34)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5">
      <c r="A35" s="5">
        <f>IF(Destinasjoner!A31="","",Destinasjoner!A31)</f>
        <v/>
      </c>
      <c r="B35" s="5">
        <f>IF(A35="","",Destinasjoner!E31)</f>
        <v/>
      </c>
      <c r="C35" s="5">
        <f>IF(A35="","",Destinasjoner!B31)</f>
        <v/>
      </c>
      <c r="D35" s="17">
        <f>IFERROR(SUMIFS(F35:BE35,$F$7:$BE$7,"x")/COUNTIFS($F$7:$BE$7,"x",F35:BE35,"&gt;0"),"")</f>
        <v/>
      </c>
      <c r="E35" s="18">
        <f>IF(D35="","",_xlfn.MINIFS(F35:BE35,$F$7:$BE$7,"x",F35:BE35,"&gt;0"))</f>
        <v/>
      </c>
      <c r="F35" s="19">
        <f>IF($A35="","",IF(COUNTIFS(Måned!$A$5:$A$2000,$A35,Måned!$C$5:$C$2000,MONTH(F$5+3))=0,"",MAX(1,MIN(5,SUMIFS(Måned!$H$5:$H$2000,Måned!$A$5:$A$2000,$A35,Måned!$C$5:$C$2000,MONTH(F$5+3))+SUMPRODUCT((Vinduer!$A$5:$A$300=$A35)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5" s="19">
        <f>IF($A35="","",IF(COUNTIFS(Måned!$A$5:$A$2000,$A35,Måned!$C$5:$C$2000,MONTH(G$5+3))=0,"",MAX(1,MIN(5,SUMIFS(Måned!$H$5:$H$2000,Måned!$A$5:$A$2000,$A35,Måned!$C$5:$C$2000,MONTH(G$5+3))+SUMPRODUCT((Vinduer!$A$5:$A$300=$A35)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5" s="19">
        <f>IF($A35="","",IF(COUNTIFS(Måned!$A$5:$A$2000,$A35,Måned!$C$5:$C$2000,MONTH(H$5+3))=0,"",MAX(1,MIN(5,SUMIFS(Måned!$H$5:$H$2000,Måned!$A$5:$A$2000,$A35,Måned!$C$5:$C$2000,MONTH(H$5+3))+SUMPRODUCT((Vinduer!$A$5:$A$300=$A35)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5" s="19">
        <f>IF($A35="","",IF(COUNTIFS(Måned!$A$5:$A$2000,$A35,Måned!$C$5:$C$2000,MONTH(I$5+3))=0,"",MAX(1,MIN(5,SUMIFS(Måned!$H$5:$H$2000,Måned!$A$5:$A$2000,$A35,Måned!$C$5:$C$2000,MONTH(I$5+3))+SUMPRODUCT((Vinduer!$A$5:$A$300=$A35)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5" s="19">
        <f>IF($A35="","",IF(COUNTIFS(Måned!$A$5:$A$2000,$A35,Måned!$C$5:$C$2000,MONTH(J$5+3))=0,"",MAX(1,MIN(5,SUMIFS(Måned!$H$5:$H$2000,Måned!$A$5:$A$2000,$A35,Måned!$C$5:$C$2000,MONTH(J$5+3))+SUMPRODUCT((Vinduer!$A$5:$A$300=$A35)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5" s="19">
        <f>IF($A35="","",IF(COUNTIFS(Måned!$A$5:$A$2000,$A35,Måned!$C$5:$C$2000,MONTH(K$5+3))=0,"",MAX(1,MIN(5,SUMIFS(Måned!$H$5:$H$2000,Måned!$A$5:$A$2000,$A35,Måned!$C$5:$C$2000,MONTH(K$5+3))+SUMPRODUCT((Vinduer!$A$5:$A$300=$A35)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5" s="19">
        <f>IF($A35="","",IF(COUNTIFS(Måned!$A$5:$A$2000,$A35,Måned!$C$5:$C$2000,MONTH(L$5+3))=0,"",MAX(1,MIN(5,SUMIFS(Måned!$H$5:$H$2000,Måned!$A$5:$A$2000,$A35,Måned!$C$5:$C$2000,MONTH(L$5+3))+SUMPRODUCT((Vinduer!$A$5:$A$300=$A35)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5" s="19">
        <f>IF($A35="","",IF(COUNTIFS(Måned!$A$5:$A$2000,$A35,Måned!$C$5:$C$2000,MONTH(M$5+3))=0,"",MAX(1,MIN(5,SUMIFS(Måned!$H$5:$H$2000,Måned!$A$5:$A$2000,$A35,Måned!$C$5:$C$2000,MONTH(M$5+3))+SUMPRODUCT((Vinduer!$A$5:$A$300=$A35)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5" s="19">
        <f>IF($A35="","",IF(COUNTIFS(Måned!$A$5:$A$2000,$A35,Måned!$C$5:$C$2000,MONTH(N$5+3))=0,"",MAX(1,MIN(5,SUMIFS(Måned!$H$5:$H$2000,Måned!$A$5:$A$2000,$A35,Måned!$C$5:$C$2000,MONTH(N$5+3))+SUMPRODUCT((Vinduer!$A$5:$A$300=$A35)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5" s="19">
        <f>IF($A35="","",IF(COUNTIFS(Måned!$A$5:$A$2000,$A35,Måned!$C$5:$C$2000,MONTH(O$5+3))=0,"",MAX(1,MIN(5,SUMIFS(Måned!$H$5:$H$2000,Måned!$A$5:$A$2000,$A35,Måned!$C$5:$C$2000,MONTH(O$5+3))+SUMPRODUCT((Vinduer!$A$5:$A$300=$A35)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5" s="19">
        <f>IF($A35="","",IF(COUNTIFS(Måned!$A$5:$A$2000,$A35,Måned!$C$5:$C$2000,MONTH(P$5+3))=0,"",MAX(1,MIN(5,SUMIFS(Måned!$H$5:$H$2000,Måned!$A$5:$A$2000,$A35,Måned!$C$5:$C$2000,MONTH(P$5+3))+SUMPRODUCT((Vinduer!$A$5:$A$300=$A35)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5" s="19">
        <f>IF($A35="","",IF(COUNTIFS(Måned!$A$5:$A$2000,$A35,Måned!$C$5:$C$2000,MONTH(Q$5+3))=0,"",MAX(1,MIN(5,SUMIFS(Måned!$H$5:$H$2000,Måned!$A$5:$A$2000,$A35,Måned!$C$5:$C$2000,MONTH(Q$5+3))+SUMPRODUCT((Vinduer!$A$5:$A$300=$A35)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5" s="19">
        <f>IF($A35="","",IF(COUNTIFS(Måned!$A$5:$A$2000,$A35,Måned!$C$5:$C$2000,MONTH(R$5+3))=0,"",MAX(1,MIN(5,SUMIFS(Måned!$H$5:$H$2000,Måned!$A$5:$A$2000,$A35,Måned!$C$5:$C$2000,MONTH(R$5+3))+SUMPRODUCT((Vinduer!$A$5:$A$300=$A35)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5" s="19">
        <f>IF($A35="","",IF(COUNTIFS(Måned!$A$5:$A$2000,$A35,Måned!$C$5:$C$2000,MONTH(S$5+3))=0,"",MAX(1,MIN(5,SUMIFS(Måned!$H$5:$H$2000,Måned!$A$5:$A$2000,$A35,Måned!$C$5:$C$2000,MONTH(S$5+3))+SUMPRODUCT((Vinduer!$A$5:$A$300=$A35)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5" s="19">
        <f>IF($A35="","",IF(COUNTIFS(Måned!$A$5:$A$2000,$A35,Måned!$C$5:$C$2000,MONTH(T$5+3))=0,"",MAX(1,MIN(5,SUMIFS(Måned!$H$5:$H$2000,Måned!$A$5:$A$2000,$A35,Måned!$C$5:$C$2000,MONTH(T$5+3))+SUMPRODUCT((Vinduer!$A$5:$A$300=$A35)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5" s="19">
        <f>IF($A35="","",IF(COUNTIFS(Måned!$A$5:$A$2000,$A35,Måned!$C$5:$C$2000,MONTH(U$5+3))=0,"",MAX(1,MIN(5,SUMIFS(Måned!$H$5:$H$2000,Måned!$A$5:$A$2000,$A35,Måned!$C$5:$C$2000,MONTH(U$5+3))+SUMPRODUCT((Vinduer!$A$5:$A$300=$A35)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5" s="19">
        <f>IF($A35="","",IF(COUNTIFS(Måned!$A$5:$A$2000,$A35,Måned!$C$5:$C$2000,MONTH(V$5+3))=0,"",MAX(1,MIN(5,SUMIFS(Måned!$H$5:$H$2000,Måned!$A$5:$A$2000,$A35,Måned!$C$5:$C$2000,MONTH(V$5+3))+SUMPRODUCT((Vinduer!$A$5:$A$300=$A35)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5" s="19">
        <f>IF($A35="","",IF(COUNTIFS(Måned!$A$5:$A$2000,$A35,Måned!$C$5:$C$2000,MONTH(W$5+3))=0,"",MAX(1,MIN(5,SUMIFS(Måned!$H$5:$H$2000,Måned!$A$5:$A$2000,$A35,Måned!$C$5:$C$2000,MONTH(W$5+3))+SUMPRODUCT((Vinduer!$A$5:$A$300=$A35)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5" s="19">
        <f>IF($A35="","",IF(COUNTIFS(Måned!$A$5:$A$2000,$A35,Måned!$C$5:$C$2000,MONTH(X$5+3))=0,"",MAX(1,MIN(5,SUMIFS(Måned!$H$5:$H$2000,Måned!$A$5:$A$2000,$A35,Måned!$C$5:$C$2000,MONTH(X$5+3))+SUMPRODUCT((Vinduer!$A$5:$A$300=$A35)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5" s="19">
        <f>IF($A35="","",IF(COUNTIFS(Måned!$A$5:$A$2000,$A35,Måned!$C$5:$C$2000,MONTH(Y$5+3))=0,"",MAX(1,MIN(5,SUMIFS(Måned!$H$5:$H$2000,Måned!$A$5:$A$2000,$A35,Måned!$C$5:$C$2000,MONTH(Y$5+3))+SUMPRODUCT((Vinduer!$A$5:$A$300=$A35)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5" s="19">
        <f>IF($A35="","",IF(COUNTIFS(Måned!$A$5:$A$2000,$A35,Måned!$C$5:$C$2000,MONTH(Z$5+3))=0,"",MAX(1,MIN(5,SUMIFS(Måned!$H$5:$H$2000,Måned!$A$5:$A$2000,$A35,Måned!$C$5:$C$2000,MONTH(Z$5+3))+SUMPRODUCT((Vinduer!$A$5:$A$300=$A35)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5" s="19">
        <f>IF($A35="","",IF(COUNTIFS(Måned!$A$5:$A$2000,$A35,Måned!$C$5:$C$2000,MONTH(AA$5+3))=0,"",MAX(1,MIN(5,SUMIFS(Måned!$H$5:$H$2000,Måned!$A$5:$A$2000,$A35,Måned!$C$5:$C$2000,MONTH(AA$5+3))+SUMPRODUCT((Vinduer!$A$5:$A$300=$A35)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5" s="19">
        <f>IF($A35="","",IF(COUNTIFS(Måned!$A$5:$A$2000,$A35,Måned!$C$5:$C$2000,MONTH(AB$5+3))=0,"",MAX(1,MIN(5,SUMIFS(Måned!$H$5:$H$2000,Måned!$A$5:$A$2000,$A35,Måned!$C$5:$C$2000,MONTH(AB$5+3))+SUMPRODUCT((Vinduer!$A$5:$A$300=$A35)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5" s="19">
        <f>IF($A35="","",IF(COUNTIFS(Måned!$A$5:$A$2000,$A35,Måned!$C$5:$C$2000,MONTH(AC$5+3))=0,"",MAX(1,MIN(5,SUMIFS(Måned!$H$5:$H$2000,Måned!$A$5:$A$2000,$A35,Måned!$C$5:$C$2000,MONTH(AC$5+3))+SUMPRODUCT((Vinduer!$A$5:$A$300=$A35)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5" s="19">
        <f>IF($A35="","",IF(COUNTIFS(Måned!$A$5:$A$2000,$A35,Måned!$C$5:$C$2000,MONTH(AD$5+3))=0,"",MAX(1,MIN(5,SUMIFS(Måned!$H$5:$H$2000,Måned!$A$5:$A$2000,$A35,Måned!$C$5:$C$2000,MONTH(AD$5+3))+SUMPRODUCT((Vinduer!$A$5:$A$300=$A35)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5" s="19">
        <f>IF($A35="","",IF(COUNTIFS(Måned!$A$5:$A$2000,$A35,Måned!$C$5:$C$2000,MONTH(AE$5+3))=0,"",MAX(1,MIN(5,SUMIFS(Måned!$H$5:$H$2000,Måned!$A$5:$A$2000,$A35,Måned!$C$5:$C$2000,MONTH(AE$5+3))+SUMPRODUCT((Vinduer!$A$5:$A$300=$A35)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5" s="19">
        <f>IF($A35="","",IF(COUNTIFS(Måned!$A$5:$A$2000,$A35,Måned!$C$5:$C$2000,MONTH(AF$5+3))=0,"",MAX(1,MIN(5,SUMIFS(Måned!$H$5:$H$2000,Måned!$A$5:$A$2000,$A35,Måned!$C$5:$C$2000,MONTH(AF$5+3))+SUMPRODUCT((Vinduer!$A$5:$A$300=$A35)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5" s="19">
        <f>IF($A35="","",IF(COUNTIFS(Måned!$A$5:$A$2000,$A35,Måned!$C$5:$C$2000,MONTH(AG$5+3))=0,"",MAX(1,MIN(5,SUMIFS(Måned!$H$5:$H$2000,Måned!$A$5:$A$2000,$A35,Måned!$C$5:$C$2000,MONTH(AG$5+3))+SUMPRODUCT((Vinduer!$A$5:$A$300=$A35)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5" s="19">
        <f>IF($A35="","",IF(COUNTIFS(Måned!$A$5:$A$2000,$A35,Måned!$C$5:$C$2000,MONTH(AH$5+3))=0,"",MAX(1,MIN(5,SUMIFS(Måned!$H$5:$H$2000,Måned!$A$5:$A$2000,$A35,Måned!$C$5:$C$2000,MONTH(AH$5+3))+SUMPRODUCT((Vinduer!$A$5:$A$300=$A35)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5" s="19">
        <f>IF($A35="","",IF(COUNTIFS(Måned!$A$5:$A$2000,$A35,Måned!$C$5:$C$2000,MONTH(AI$5+3))=0,"",MAX(1,MIN(5,SUMIFS(Måned!$H$5:$H$2000,Måned!$A$5:$A$2000,$A35,Måned!$C$5:$C$2000,MONTH(AI$5+3))+SUMPRODUCT((Vinduer!$A$5:$A$300=$A35)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5" s="19">
        <f>IF($A35="","",IF(COUNTIFS(Måned!$A$5:$A$2000,$A35,Måned!$C$5:$C$2000,MONTH(AJ$5+3))=0,"",MAX(1,MIN(5,SUMIFS(Måned!$H$5:$H$2000,Måned!$A$5:$A$2000,$A35,Måned!$C$5:$C$2000,MONTH(AJ$5+3))+SUMPRODUCT((Vinduer!$A$5:$A$300=$A35)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5" s="19">
        <f>IF($A35="","",IF(COUNTIFS(Måned!$A$5:$A$2000,$A35,Måned!$C$5:$C$2000,MONTH(AK$5+3))=0,"",MAX(1,MIN(5,SUMIFS(Måned!$H$5:$H$2000,Måned!$A$5:$A$2000,$A35,Måned!$C$5:$C$2000,MONTH(AK$5+3))+SUMPRODUCT((Vinduer!$A$5:$A$300=$A35)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5" s="19">
        <f>IF($A35="","",IF(COUNTIFS(Måned!$A$5:$A$2000,$A35,Måned!$C$5:$C$2000,MONTH(AL$5+3))=0,"",MAX(1,MIN(5,SUMIFS(Måned!$H$5:$H$2000,Måned!$A$5:$A$2000,$A35,Måned!$C$5:$C$2000,MONTH(AL$5+3))+SUMPRODUCT((Vinduer!$A$5:$A$300=$A35)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5" s="19">
        <f>IF($A35="","",IF(COUNTIFS(Måned!$A$5:$A$2000,$A35,Måned!$C$5:$C$2000,MONTH(AM$5+3))=0,"",MAX(1,MIN(5,SUMIFS(Måned!$H$5:$H$2000,Måned!$A$5:$A$2000,$A35,Måned!$C$5:$C$2000,MONTH(AM$5+3))+SUMPRODUCT((Vinduer!$A$5:$A$300=$A35)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5" s="19">
        <f>IF($A35="","",IF(COUNTIFS(Måned!$A$5:$A$2000,$A35,Måned!$C$5:$C$2000,MONTH(AN$5+3))=0,"",MAX(1,MIN(5,SUMIFS(Måned!$H$5:$H$2000,Måned!$A$5:$A$2000,$A35,Måned!$C$5:$C$2000,MONTH(AN$5+3))+SUMPRODUCT((Vinduer!$A$5:$A$300=$A35)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5" s="19">
        <f>IF($A35="","",IF(COUNTIFS(Måned!$A$5:$A$2000,$A35,Måned!$C$5:$C$2000,MONTH(AO$5+3))=0,"",MAX(1,MIN(5,SUMIFS(Måned!$H$5:$H$2000,Måned!$A$5:$A$2000,$A35,Måned!$C$5:$C$2000,MONTH(AO$5+3))+SUMPRODUCT((Vinduer!$A$5:$A$300=$A35)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5" s="19">
        <f>IF($A35="","",IF(COUNTIFS(Måned!$A$5:$A$2000,$A35,Måned!$C$5:$C$2000,MONTH(AP$5+3))=0,"",MAX(1,MIN(5,SUMIFS(Måned!$H$5:$H$2000,Måned!$A$5:$A$2000,$A35,Måned!$C$5:$C$2000,MONTH(AP$5+3))+SUMPRODUCT((Vinduer!$A$5:$A$300=$A35)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5" s="19">
        <f>IF($A35="","",IF(COUNTIFS(Måned!$A$5:$A$2000,$A35,Måned!$C$5:$C$2000,MONTH(AQ$5+3))=0,"",MAX(1,MIN(5,SUMIFS(Måned!$H$5:$H$2000,Måned!$A$5:$A$2000,$A35,Måned!$C$5:$C$2000,MONTH(AQ$5+3))+SUMPRODUCT((Vinduer!$A$5:$A$300=$A35)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5" s="19">
        <f>IF($A35="","",IF(COUNTIFS(Måned!$A$5:$A$2000,$A35,Måned!$C$5:$C$2000,MONTH(AR$5+3))=0,"",MAX(1,MIN(5,SUMIFS(Måned!$H$5:$H$2000,Måned!$A$5:$A$2000,$A35,Måned!$C$5:$C$2000,MONTH(AR$5+3))+SUMPRODUCT((Vinduer!$A$5:$A$300=$A35)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5" s="19">
        <f>IF($A35="","",IF(COUNTIFS(Måned!$A$5:$A$2000,$A35,Måned!$C$5:$C$2000,MONTH(AS$5+3))=0,"",MAX(1,MIN(5,SUMIFS(Måned!$H$5:$H$2000,Måned!$A$5:$A$2000,$A35,Måned!$C$5:$C$2000,MONTH(AS$5+3))+SUMPRODUCT((Vinduer!$A$5:$A$300=$A35)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5" s="19">
        <f>IF($A35="","",IF(COUNTIFS(Måned!$A$5:$A$2000,$A35,Måned!$C$5:$C$2000,MONTH(AT$5+3))=0,"",MAX(1,MIN(5,SUMIFS(Måned!$H$5:$H$2000,Måned!$A$5:$A$2000,$A35,Måned!$C$5:$C$2000,MONTH(AT$5+3))+SUMPRODUCT((Vinduer!$A$5:$A$300=$A35)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5" s="19">
        <f>IF($A35="","",IF(COUNTIFS(Måned!$A$5:$A$2000,$A35,Måned!$C$5:$C$2000,MONTH(AU$5+3))=0,"",MAX(1,MIN(5,SUMIFS(Måned!$H$5:$H$2000,Måned!$A$5:$A$2000,$A35,Måned!$C$5:$C$2000,MONTH(AU$5+3))+SUMPRODUCT((Vinduer!$A$5:$A$300=$A35)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5" s="19">
        <f>IF($A35="","",IF(COUNTIFS(Måned!$A$5:$A$2000,$A35,Måned!$C$5:$C$2000,MONTH(AV$5+3))=0,"",MAX(1,MIN(5,SUMIFS(Måned!$H$5:$H$2000,Måned!$A$5:$A$2000,$A35,Måned!$C$5:$C$2000,MONTH(AV$5+3))+SUMPRODUCT((Vinduer!$A$5:$A$300=$A35)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5" s="19">
        <f>IF($A35="","",IF(COUNTIFS(Måned!$A$5:$A$2000,$A35,Måned!$C$5:$C$2000,MONTH(AW$5+3))=0,"",MAX(1,MIN(5,SUMIFS(Måned!$H$5:$H$2000,Måned!$A$5:$A$2000,$A35,Måned!$C$5:$C$2000,MONTH(AW$5+3))+SUMPRODUCT((Vinduer!$A$5:$A$300=$A35)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5" s="19">
        <f>IF($A35="","",IF(COUNTIFS(Måned!$A$5:$A$2000,$A35,Måned!$C$5:$C$2000,MONTH(AX$5+3))=0,"",MAX(1,MIN(5,SUMIFS(Måned!$H$5:$H$2000,Måned!$A$5:$A$2000,$A35,Måned!$C$5:$C$2000,MONTH(AX$5+3))+SUMPRODUCT((Vinduer!$A$5:$A$300=$A35)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5" s="19">
        <f>IF($A35="","",IF(COUNTIFS(Måned!$A$5:$A$2000,$A35,Måned!$C$5:$C$2000,MONTH(AY$5+3))=0,"",MAX(1,MIN(5,SUMIFS(Måned!$H$5:$H$2000,Måned!$A$5:$A$2000,$A35,Måned!$C$5:$C$2000,MONTH(AY$5+3))+SUMPRODUCT((Vinduer!$A$5:$A$300=$A35)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5" s="19">
        <f>IF($A35="","",IF(COUNTIFS(Måned!$A$5:$A$2000,$A35,Måned!$C$5:$C$2000,MONTH(AZ$5+3))=0,"",MAX(1,MIN(5,SUMIFS(Måned!$H$5:$H$2000,Måned!$A$5:$A$2000,$A35,Måned!$C$5:$C$2000,MONTH(AZ$5+3))+SUMPRODUCT((Vinduer!$A$5:$A$300=$A35)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5" s="19">
        <f>IF($A35="","",IF(COUNTIFS(Måned!$A$5:$A$2000,$A35,Måned!$C$5:$C$2000,MONTH(BA$5+3))=0,"",MAX(1,MIN(5,SUMIFS(Måned!$H$5:$H$2000,Måned!$A$5:$A$2000,$A35,Måned!$C$5:$C$2000,MONTH(BA$5+3))+SUMPRODUCT((Vinduer!$A$5:$A$300=$A35)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5" s="19">
        <f>IF($A35="","",IF(COUNTIFS(Måned!$A$5:$A$2000,$A35,Måned!$C$5:$C$2000,MONTH(BB$5+3))=0,"",MAX(1,MIN(5,SUMIFS(Måned!$H$5:$H$2000,Måned!$A$5:$A$2000,$A35,Måned!$C$5:$C$2000,MONTH(BB$5+3))+SUMPRODUCT((Vinduer!$A$5:$A$300=$A35)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5" s="19">
        <f>IF($A35="","",IF(COUNTIFS(Måned!$A$5:$A$2000,$A35,Måned!$C$5:$C$2000,MONTH(BC$5+3))=0,"",MAX(1,MIN(5,SUMIFS(Måned!$H$5:$H$2000,Måned!$A$5:$A$2000,$A35,Måned!$C$5:$C$2000,MONTH(BC$5+3))+SUMPRODUCT((Vinduer!$A$5:$A$300=$A35)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5" s="19">
        <f>IF($A35="","",IF(COUNTIFS(Måned!$A$5:$A$2000,$A35,Måned!$C$5:$C$2000,MONTH(BD$5+3))=0,"",MAX(1,MIN(5,SUMIFS(Måned!$H$5:$H$2000,Måned!$A$5:$A$2000,$A35,Måned!$C$5:$C$2000,MONTH(BD$5+3))+SUMPRODUCT((Vinduer!$A$5:$A$300=$A35)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5" s="19">
        <f>IF($A35="","",IF(COUNTIFS(Måned!$A$5:$A$2000,$A35,Måned!$C$5:$C$2000,MONTH(BE$5+3))=0,"",MAX(1,MIN(5,SUMIFS(Måned!$H$5:$H$2000,Måned!$A$5:$A$2000,$A35,Måned!$C$5:$C$2000,MONTH(BE$5+3))+SUMPRODUCT((Vinduer!$A$5:$A$300=$A35)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6">
      <c r="A36" s="5">
        <f>IF(Destinasjoner!A32="","",Destinasjoner!A32)</f>
        <v/>
      </c>
      <c r="B36" s="5">
        <f>IF(A36="","",Destinasjoner!E32)</f>
        <v/>
      </c>
      <c r="C36" s="5">
        <f>IF(A36="","",Destinasjoner!B32)</f>
        <v/>
      </c>
      <c r="D36" s="17">
        <f>IFERROR(SUMIFS(F36:BE36,$F$7:$BE$7,"x")/COUNTIFS($F$7:$BE$7,"x",F36:BE36,"&gt;0"),"")</f>
        <v/>
      </c>
      <c r="E36" s="18">
        <f>IF(D36="","",_xlfn.MINIFS(F36:BE36,$F$7:$BE$7,"x",F36:BE36,"&gt;0"))</f>
        <v/>
      </c>
      <c r="F36" s="19">
        <f>IF($A36="","",IF(COUNTIFS(Måned!$A$5:$A$2000,$A36,Måned!$C$5:$C$2000,MONTH(F$5+3))=0,"",MAX(1,MIN(5,SUMIFS(Måned!$H$5:$H$2000,Måned!$A$5:$A$2000,$A36,Måned!$C$5:$C$2000,MONTH(F$5+3))+SUMPRODUCT((Vinduer!$A$5:$A$300=$A36)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6" s="19">
        <f>IF($A36="","",IF(COUNTIFS(Måned!$A$5:$A$2000,$A36,Måned!$C$5:$C$2000,MONTH(G$5+3))=0,"",MAX(1,MIN(5,SUMIFS(Måned!$H$5:$H$2000,Måned!$A$5:$A$2000,$A36,Måned!$C$5:$C$2000,MONTH(G$5+3))+SUMPRODUCT((Vinduer!$A$5:$A$300=$A36)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6" s="19">
        <f>IF($A36="","",IF(COUNTIFS(Måned!$A$5:$A$2000,$A36,Måned!$C$5:$C$2000,MONTH(H$5+3))=0,"",MAX(1,MIN(5,SUMIFS(Måned!$H$5:$H$2000,Måned!$A$5:$A$2000,$A36,Måned!$C$5:$C$2000,MONTH(H$5+3))+SUMPRODUCT((Vinduer!$A$5:$A$300=$A36)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6" s="19">
        <f>IF($A36="","",IF(COUNTIFS(Måned!$A$5:$A$2000,$A36,Måned!$C$5:$C$2000,MONTH(I$5+3))=0,"",MAX(1,MIN(5,SUMIFS(Måned!$H$5:$H$2000,Måned!$A$5:$A$2000,$A36,Måned!$C$5:$C$2000,MONTH(I$5+3))+SUMPRODUCT((Vinduer!$A$5:$A$300=$A36)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6" s="19">
        <f>IF($A36="","",IF(COUNTIFS(Måned!$A$5:$A$2000,$A36,Måned!$C$5:$C$2000,MONTH(J$5+3))=0,"",MAX(1,MIN(5,SUMIFS(Måned!$H$5:$H$2000,Måned!$A$5:$A$2000,$A36,Måned!$C$5:$C$2000,MONTH(J$5+3))+SUMPRODUCT((Vinduer!$A$5:$A$300=$A36)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6" s="19">
        <f>IF($A36="","",IF(COUNTIFS(Måned!$A$5:$A$2000,$A36,Måned!$C$5:$C$2000,MONTH(K$5+3))=0,"",MAX(1,MIN(5,SUMIFS(Måned!$H$5:$H$2000,Måned!$A$5:$A$2000,$A36,Måned!$C$5:$C$2000,MONTH(K$5+3))+SUMPRODUCT((Vinduer!$A$5:$A$300=$A36)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6" s="19">
        <f>IF($A36="","",IF(COUNTIFS(Måned!$A$5:$A$2000,$A36,Måned!$C$5:$C$2000,MONTH(L$5+3))=0,"",MAX(1,MIN(5,SUMIFS(Måned!$H$5:$H$2000,Måned!$A$5:$A$2000,$A36,Måned!$C$5:$C$2000,MONTH(L$5+3))+SUMPRODUCT((Vinduer!$A$5:$A$300=$A36)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6" s="19">
        <f>IF($A36="","",IF(COUNTIFS(Måned!$A$5:$A$2000,$A36,Måned!$C$5:$C$2000,MONTH(M$5+3))=0,"",MAX(1,MIN(5,SUMIFS(Måned!$H$5:$H$2000,Måned!$A$5:$A$2000,$A36,Måned!$C$5:$C$2000,MONTH(M$5+3))+SUMPRODUCT((Vinduer!$A$5:$A$300=$A36)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6" s="19">
        <f>IF($A36="","",IF(COUNTIFS(Måned!$A$5:$A$2000,$A36,Måned!$C$5:$C$2000,MONTH(N$5+3))=0,"",MAX(1,MIN(5,SUMIFS(Måned!$H$5:$H$2000,Måned!$A$5:$A$2000,$A36,Måned!$C$5:$C$2000,MONTH(N$5+3))+SUMPRODUCT((Vinduer!$A$5:$A$300=$A36)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6" s="19">
        <f>IF($A36="","",IF(COUNTIFS(Måned!$A$5:$A$2000,$A36,Måned!$C$5:$C$2000,MONTH(O$5+3))=0,"",MAX(1,MIN(5,SUMIFS(Måned!$H$5:$H$2000,Måned!$A$5:$A$2000,$A36,Måned!$C$5:$C$2000,MONTH(O$5+3))+SUMPRODUCT((Vinduer!$A$5:$A$300=$A36)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6" s="19">
        <f>IF($A36="","",IF(COUNTIFS(Måned!$A$5:$A$2000,$A36,Måned!$C$5:$C$2000,MONTH(P$5+3))=0,"",MAX(1,MIN(5,SUMIFS(Måned!$H$5:$H$2000,Måned!$A$5:$A$2000,$A36,Måned!$C$5:$C$2000,MONTH(P$5+3))+SUMPRODUCT((Vinduer!$A$5:$A$300=$A36)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6" s="19">
        <f>IF($A36="","",IF(COUNTIFS(Måned!$A$5:$A$2000,$A36,Måned!$C$5:$C$2000,MONTH(Q$5+3))=0,"",MAX(1,MIN(5,SUMIFS(Måned!$H$5:$H$2000,Måned!$A$5:$A$2000,$A36,Måned!$C$5:$C$2000,MONTH(Q$5+3))+SUMPRODUCT((Vinduer!$A$5:$A$300=$A36)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6" s="19">
        <f>IF($A36="","",IF(COUNTIFS(Måned!$A$5:$A$2000,$A36,Måned!$C$5:$C$2000,MONTH(R$5+3))=0,"",MAX(1,MIN(5,SUMIFS(Måned!$H$5:$H$2000,Måned!$A$5:$A$2000,$A36,Måned!$C$5:$C$2000,MONTH(R$5+3))+SUMPRODUCT((Vinduer!$A$5:$A$300=$A36)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6" s="19">
        <f>IF($A36="","",IF(COUNTIFS(Måned!$A$5:$A$2000,$A36,Måned!$C$5:$C$2000,MONTH(S$5+3))=0,"",MAX(1,MIN(5,SUMIFS(Måned!$H$5:$H$2000,Måned!$A$5:$A$2000,$A36,Måned!$C$5:$C$2000,MONTH(S$5+3))+SUMPRODUCT((Vinduer!$A$5:$A$300=$A36)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6" s="19">
        <f>IF($A36="","",IF(COUNTIFS(Måned!$A$5:$A$2000,$A36,Måned!$C$5:$C$2000,MONTH(T$5+3))=0,"",MAX(1,MIN(5,SUMIFS(Måned!$H$5:$H$2000,Måned!$A$5:$A$2000,$A36,Måned!$C$5:$C$2000,MONTH(T$5+3))+SUMPRODUCT((Vinduer!$A$5:$A$300=$A36)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6" s="19">
        <f>IF($A36="","",IF(COUNTIFS(Måned!$A$5:$A$2000,$A36,Måned!$C$5:$C$2000,MONTH(U$5+3))=0,"",MAX(1,MIN(5,SUMIFS(Måned!$H$5:$H$2000,Måned!$A$5:$A$2000,$A36,Måned!$C$5:$C$2000,MONTH(U$5+3))+SUMPRODUCT((Vinduer!$A$5:$A$300=$A36)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6" s="19">
        <f>IF($A36="","",IF(COUNTIFS(Måned!$A$5:$A$2000,$A36,Måned!$C$5:$C$2000,MONTH(V$5+3))=0,"",MAX(1,MIN(5,SUMIFS(Måned!$H$5:$H$2000,Måned!$A$5:$A$2000,$A36,Måned!$C$5:$C$2000,MONTH(V$5+3))+SUMPRODUCT((Vinduer!$A$5:$A$300=$A36)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6" s="19">
        <f>IF($A36="","",IF(COUNTIFS(Måned!$A$5:$A$2000,$A36,Måned!$C$5:$C$2000,MONTH(W$5+3))=0,"",MAX(1,MIN(5,SUMIFS(Måned!$H$5:$H$2000,Måned!$A$5:$A$2000,$A36,Måned!$C$5:$C$2000,MONTH(W$5+3))+SUMPRODUCT((Vinduer!$A$5:$A$300=$A36)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6" s="19">
        <f>IF($A36="","",IF(COUNTIFS(Måned!$A$5:$A$2000,$A36,Måned!$C$5:$C$2000,MONTH(X$5+3))=0,"",MAX(1,MIN(5,SUMIFS(Måned!$H$5:$H$2000,Måned!$A$5:$A$2000,$A36,Måned!$C$5:$C$2000,MONTH(X$5+3))+SUMPRODUCT((Vinduer!$A$5:$A$300=$A36)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6" s="19">
        <f>IF($A36="","",IF(COUNTIFS(Måned!$A$5:$A$2000,$A36,Måned!$C$5:$C$2000,MONTH(Y$5+3))=0,"",MAX(1,MIN(5,SUMIFS(Måned!$H$5:$H$2000,Måned!$A$5:$A$2000,$A36,Måned!$C$5:$C$2000,MONTH(Y$5+3))+SUMPRODUCT((Vinduer!$A$5:$A$300=$A36)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6" s="19">
        <f>IF($A36="","",IF(COUNTIFS(Måned!$A$5:$A$2000,$A36,Måned!$C$5:$C$2000,MONTH(Z$5+3))=0,"",MAX(1,MIN(5,SUMIFS(Måned!$H$5:$H$2000,Måned!$A$5:$A$2000,$A36,Måned!$C$5:$C$2000,MONTH(Z$5+3))+SUMPRODUCT((Vinduer!$A$5:$A$300=$A36)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6" s="19">
        <f>IF($A36="","",IF(COUNTIFS(Måned!$A$5:$A$2000,$A36,Måned!$C$5:$C$2000,MONTH(AA$5+3))=0,"",MAX(1,MIN(5,SUMIFS(Måned!$H$5:$H$2000,Måned!$A$5:$A$2000,$A36,Måned!$C$5:$C$2000,MONTH(AA$5+3))+SUMPRODUCT((Vinduer!$A$5:$A$300=$A36)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6" s="19">
        <f>IF($A36="","",IF(COUNTIFS(Måned!$A$5:$A$2000,$A36,Måned!$C$5:$C$2000,MONTH(AB$5+3))=0,"",MAX(1,MIN(5,SUMIFS(Måned!$H$5:$H$2000,Måned!$A$5:$A$2000,$A36,Måned!$C$5:$C$2000,MONTH(AB$5+3))+SUMPRODUCT((Vinduer!$A$5:$A$300=$A36)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6" s="19">
        <f>IF($A36="","",IF(COUNTIFS(Måned!$A$5:$A$2000,$A36,Måned!$C$5:$C$2000,MONTH(AC$5+3))=0,"",MAX(1,MIN(5,SUMIFS(Måned!$H$5:$H$2000,Måned!$A$5:$A$2000,$A36,Måned!$C$5:$C$2000,MONTH(AC$5+3))+SUMPRODUCT((Vinduer!$A$5:$A$300=$A36)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6" s="19">
        <f>IF($A36="","",IF(COUNTIFS(Måned!$A$5:$A$2000,$A36,Måned!$C$5:$C$2000,MONTH(AD$5+3))=0,"",MAX(1,MIN(5,SUMIFS(Måned!$H$5:$H$2000,Måned!$A$5:$A$2000,$A36,Måned!$C$5:$C$2000,MONTH(AD$5+3))+SUMPRODUCT((Vinduer!$A$5:$A$300=$A36)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6" s="19">
        <f>IF($A36="","",IF(COUNTIFS(Måned!$A$5:$A$2000,$A36,Måned!$C$5:$C$2000,MONTH(AE$5+3))=0,"",MAX(1,MIN(5,SUMIFS(Måned!$H$5:$H$2000,Måned!$A$5:$A$2000,$A36,Måned!$C$5:$C$2000,MONTH(AE$5+3))+SUMPRODUCT((Vinduer!$A$5:$A$300=$A36)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6" s="19">
        <f>IF($A36="","",IF(COUNTIFS(Måned!$A$5:$A$2000,$A36,Måned!$C$5:$C$2000,MONTH(AF$5+3))=0,"",MAX(1,MIN(5,SUMIFS(Måned!$H$5:$H$2000,Måned!$A$5:$A$2000,$A36,Måned!$C$5:$C$2000,MONTH(AF$5+3))+SUMPRODUCT((Vinduer!$A$5:$A$300=$A36)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6" s="19">
        <f>IF($A36="","",IF(COUNTIFS(Måned!$A$5:$A$2000,$A36,Måned!$C$5:$C$2000,MONTH(AG$5+3))=0,"",MAX(1,MIN(5,SUMIFS(Måned!$H$5:$H$2000,Måned!$A$5:$A$2000,$A36,Måned!$C$5:$C$2000,MONTH(AG$5+3))+SUMPRODUCT((Vinduer!$A$5:$A$300=$A36)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6" s="19">
        <f>IF($A36="","",IF(COUNTIFS(Måned!$A$5:$A$2000,$A36,Måned!$C$5:$C$2000,MONTH(AH$5+3))=0,"",MAX(1,MIN(5,SUMIFS(Måned!$H$5:$H$2000,Måned!$A$5:$A$2000,$A36,Måned!$C$5:$C$2000,MONTH(AH$5+3))+SUMPRODUCT((Vinduer!$A$5:$A$300=$A36)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6" s="19">
        <f>IF($A36="","",IF(COUNTIFS(Måned!$A$5:$A$2000,$A36,Måned!$C$5:$C$2000,MONTH(AI$5+3))=0,"",MAX(1,MIN(5,SUMIFS(Måned!$H$5:$H$2000,Måned!$A$5:$A$2000,$A36,Måned!$C$5:$C$2000,MONTH(AI$5+3))+SUMPRODUCT((Vinduer!$A$5:$A$300=$A36)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6" s="19">
        <f>IF($A36="","",IF(COUNTIFS(Måned!$A$5:$A$2000,$A36,Måned!$C$5:$C$2000,MONTH(AJ$5+3))=0,"",MAX(1,MIN(5,SUMIFS(Måned!$H$5:$H$2000,Måned!$A$5:$A$2000,$A36,Måned!$C$5:$C$2000,MONTH(AJ$5+3))+SUMPRODUCT((Vinduer!$A$5:$A$300=$A36)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6" s="19">
        <f>IF($A36="","",IF(COUNTIFS(Måned!$A$5:$A$2000,$A36,Måned!$C$5:$C$2000,MONTH(AK$5+3))=0,"",MAX(1,MIN(5,SUMIFS(Måned!$H$5:$H$2000,Måned!$A$5:$A$2000,$A36,Måned!$C$5:$C$2000,MONTH(AK$5+3))+SUMPRODUCT((Vinduer!$A$5:$A$300=$A36)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6" s="19">
        <f>IF($A36="","",IF(COUNTIFS(Måned!$A$5:$A$2000,$A36,Måned!$C$5:$C$2000,MONTH(AL$5+3))=0,"",MAX(1,MIN(5,SUMIFS(Måned!$H$5:$H$2000,Måned!$A$5:$A$2000,$A36,Måned!$C$5:$C$2000,MONTH(AL$5+3))+SUMPRODUCT((Vinduer!$A$5:$A$300=$A36)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6" s="19">
        <f>IF($A36="","",IF(COUNTIFS(Måned!$A$5:$A$2000,$A36,Måned!$C$5:$C$2000,MONTH(AM$5+3))=0,"",MAX(1,MIN(5,SUMIFS(Måned!$H$5:$H$2000,Måned!$A$5:$A$2000,$A36,Måned!$C$5:$C$2000,MONTH(AM$5+3))+SUMPRODUCT((Vinduer!$A$5:$A$300=$A36)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6" s="19">
        <f>IF($A36="","",IF(COUNTIFS(Måned!$A$5:$A$2000,$A36,Måned!$C$5:$C$2000,MONTH(AN$5+3))=0,"",MAX(1,MIN(5,SUMIFS(Måned!$H$5:$H$2000,Måned!$A$5:$A$2000,$A36,Måned!$C$5:$C$2000,MONTH(AN$5+3))+SUMPRODUCT((Vinduer!$A$5:$A$300=$A36)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6" s="19">
        <f>IF($A36="","",IF(COUNTIFS(Måned!$A$5:$A$2000,$A36,Måned!$C$5:$C$2000,MONTH(AO$5+3))=0,"",MAX(1,MIN(5,SUMIFS(Måned!$H$5:$H$2000,Måned!$A$5:$A$2000,$A36,Måned!$C$5:$C$2000,MONTH(AO$5+3))+SUMPRODUCT((Vinduer!$A$5:$A$300=$A36)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6" s="19">
        <f>IF($A36="","",IF(COUNTIFS(Måned!$A$5:$A$2000,$A36,Måned!$C$5:$C$2000,MONTH(AP$5+3))=0,"",MAX(1,MIN(5,SUMIFS(Måned!$H$5:$H$2000,Måned!$A$5:$A$2000,$A36,Måned!$C$5:$C$2000,MONTH(AP$5+3))+SUMPRODUCT((Vinduer!$A$5:$A$300=$A36)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6" s="19">
        <f>IF($A36="","",IF(COUNTIFS(Måned!$A$5:$A$2000,$A36,Måned!$C$5:$C$2000,MONTH(AQ$5+3))=0,"",MAX(1,MIN(5,SUMIFS(Måned!$H$5:$H$2000,Måned!$A$5:$A$2000,$A36,Måned!$C$5:$C$2000,MONTH(AQ$5+3))+SUMPRODUCT((Vinduer!$A$5:$A$300=$A36)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6" s="19">
        <f>IF($A36="","",IF(COUNTIFS(Måned!$A$5:$A$2000,$A36,Måned!$C$5:$C$2000,MONTH(AR$5+3))=0,"",MAX(1,MIN(5,SUMIFS(Måned!$H$5:$H$2000,Måned!$A$5:$A$2000,$A36,Måned!$C$5:$C$2000,MONTH(AR$5+3))+SUMPRODUCT((Vinduer!$A$5:$A$300=$A36)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6" s="19">
        <f>IF($A36="","",IF(COUNTIFS(Måned!$A$5:$A$2000,$A36,Måned!$C$5:$C$2000,MONTH(AS$5+3))=0,"",MAX(1,MIN(5,SUMIFS(Måned!$H$5:$H$2000,Måned!$A$5:$A$2000,$A36,Måned!$C$5:$C$2000,MONTH(AS$5+3))+SUMPRODUCT((Vinduer!$A$5:$A$300=$A36)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6" s="19">
        <f>IF($A36="","",IF(COUNTIFS(Måned!$A$5:$A$2000,$A36,Måned!$C$5:$C$2000,MONTH(AT$5+3))=0,"",MAX(1,MIN(5,SUMIFS(Måned!$H$5:$H$2000,Måned!$A$5:$A$2000,$A36,Måned!$C$5:$C$2000,MONTH(AT$5+3))+SUMPRODUCT((Vinduer!$A$5:$A$300=$A36)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6" s="19">
        <f>IF($A36="","",IF(COUNTIFS(Måned!$A$5:$A$2000,$A36,Måned!$C$5:$C$2000,MONTH(AU$5+3))=0,"",MAX(1,MIN(5,SUMIFS(Måned!$H$5:$H$2000,Måned!$A$5:$A$2000,$A36,Måned!$C$5:$C$2000,MONTH(AU$5+3))+SUMPRODUCT((Vinduer!$A$5:$A$300=$A36)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6" s="19">
        <f>IF($A36="","",IF(COUNTIFS(Måned!$A$5:$A$2000,$A36,Måned!$C$5:$C$2000,MONTH(AV$5+3))=0,"",MAX(1,MIN(5,SUMIFS(Måned!$H$5:$H$2000,Måned!$A$5:$A$2000,$A36,Måned!$C$5:$C$2000,MONTH(AV$5+3))+SUMPRODUCT((Vinduer!$A$5:$A$300=$A36)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6" s="19">
        <f>IF($A36="","",IF(COUNTIFS(Måned!$A$5:$A$2000,$A36,Måned!$C$5:$C$2000,MONTH(AW$5+3))=0,"",MAX(1,MIN(5,SUMIFS(Måned!$H$5:$H$2000,Måned!$A$5:$A$2000,$A36,Måned!$C$5:$C$2000,MONTH(AW$5+3))+SUMPRODUCT((Vinduer!$A$5:$A$300=$A36)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6" s="19">
        <f>IF($A36="","",IF(COUNTIFS(Måned!$A$5:$A$2000,$A36,Måned!$C$5:$C$2000,MONTH(AX$5+3))=0,"",MAX(1,MIN(5,SUMIFS(Måned!$H$5:$H$2000,Måned!$A$5:$A$2000,$A36,Måned!$C$5:$C$2000,MONTH(AX$5+3))+SUMPRODUCT((Vinduer!$A$5:$A$300=$A36)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6" s="19">
        <f>IF($A36="","",IF(COUNTIFS(Måned!$A$5:$A$2000,$A36,Måned!$C$5:$C$2000,MONTH(AY$5+3))=0,"",MAX(1,MIN(5,SUMIFS(Måned!$H$5:$H$2000,Måned!$A$5:$A$2000,$A36,Måned!$C$5:$C$2000,MONTH(AY$5+3))+SUMPRODUCT((Vinduer!$A$5:$A$300=$A36)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6" s="19">
        <f>IF($A36="","",IF(COUNTIFS(Måned!$A$5:$A$2000,$A36,Måned!$C$5:$C$2000,MONTH(AZ$5+3))=0,"",MAX(1,MIN(5,SUMIFS(Måned!$H$5:$H$2000,Måned!$A$5:$A$2000,$A36,Måned!$C$5:$C$2000,MONTH(AZ$5+3))+SUMPRODUCT((Vinduer!$A$5:$A$300=$A36)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6" s="19">
        <f>IF($A36="","",IF(COUNTIFS(Måned!$A$5:$A$2000,$A36,Måned!$C$5:$C$2000,MONTH(BA$5+3))=0,"",MAX(1,MIN(5,SUMIFS(Måned!$H$5:$H$2000,Måned!$A$5:$A$2000,$A36,Måned!$C$5:$C$2000,MONTH(BA$5+3))+SUMPRODUCT((Vinduer!$A$5:$A$300=$A36)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6" s="19">
        <f>IF($A36="","",IF(COUNTIFS(Måned!$A$5:$A$2000,$A36,Måned!$C$5:$C$2000,MONTH(BB$5+3))=0,"",MAX(1,MIN(5,SUMIFS(Måned!$H$5:$H$2000,Måned!$A$5:$A$2000,$A36,Måned!$C$5:$C$2000,MONTH(BB$5+3))+SUMPRODUCT((Vinduer!$A$5:$A$300=$A36)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6" s="19">
        <f>IF($A36="","",IF(COUNTIFS(Måned!$A$5:$A$2000,$A36,Måned!$C$5:$C$2000,MONTH(BC$5+3))=0,"",MAX(1,MIN(5,SUMIFS(Måned!$H$5:$H$2000,Måned!$A$5:$A$2000,$A36,Måned!$C$5:$C$2000,MONTH(BC$5+3))+SUMPRODUCT((Vinduer!$A$5:$A$300=$A36)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6" s="19">
        <f>IF($A36="","",IF(COUNTIFS(Måned!$A$5:$A$2000,$A36,Måned!$C$5:$C$2000,MONTH(BD$5+3))=0,"",MAX(1,MIN(5,SUMIFS(Måned!$H$5:$H$2000,Måned!$A$5:$A$2000,$A36,Måned!$C$5:$C$2000,MONTH(BD$5+3))+SUMPRODUCT((Vinduer!$A$5:$A$300=$A36)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6" s="19">
        <f>IF($A36="","",IF(COUNTIFS(Måned!$A$5:$A$2000,$A36,Måned!$C$5:$C$2000,MONTH(BE$5+3))=0,"",MAX(1,MIN(5,SUMIFS(Måned!$H$5:$H$2000,Måned!$A$5:$A$2000,$A36,Måned!$C$5:$C$2000,MONTH(BE$5+3))+SUMPRODUCT((Vinduer!$A$5:$A$300=$A36)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7">
      <c r="A37" s="5">
        <f>IF(Destinasjoner!A33="","",Destinasjoner!A33)</f>
        <v/>
      </c>
      <c r="B37" s="5">
        <f>IF(A37="","",Destinasjoner!E33)</f>
        <v/>
      </c>
      <c r="C37" s="5">
        <f>IF(A37="","",Destinasjoner!B33)</f>
        <v/>
      </c>
      <c r="D37" s="17">
        <f>IFERROR(SUMIFS(F37:BE37,$F$7:$BE$7,"x")/COUNTIFS($F$7:$BE$7,"x",F37:BE37,"&gt;0"),"")</f>
        <v/>
      </c>
      <c r="E37" s="18">
        <f>IF(D37="","",_xlfn.MINIFS(F37:BE37,$F$7:$BE$7,"x",F37:BE37,"&gt;0"))</f>
        <v/>
      </c>
      <c r="F37" s="19">
        <f>IF($A37="","",IF(COUNTIFS(Måned!$A$5:$A$2000,$A37,Måned!$C$5:$C$2000,MONTH(F$5+3))=0,"",MAX(1,MIN(5,SUMIFS(Måned!$H$5:$H$2000,Måned!$A$5:$A$2000,$A37,Måned!$C$5:$C$2000,MONTH(F$5+3))+SUMPRODUCT((Vinduer!$A$5:$A$300=$A37)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7" s="19">
        <f>IF($A37="","",IF(COUNTIFS(Måned!$A$5:$A$2000,$A37,Måned!$C$5:$C$2000,MONTH(G$5+3))=0,"",MAX(1,MIN(5,SUMIFS(Måned!$H$5:$H$2000,Måned!$A$5:$A$2000,$A37,Måned!$C$5:$C$2000,MONTH(G$5+3))+SUMPRODUCT((Vinduer!$A$5:$A$300=$A37)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7" s="19">
        <f>IF($A37="","",IF(COUNTIFS(Måned!$A$5:$A$2000,$A37,Måned!$C$5:$C$2000,MONTH(H$5+3))=0,"",MAX(1,MIN(5,SUMIFS(Måned!$H$5:$H$2000,Måned!$A$5:$A$2000,$A37,Måned!$C$5:$C$2000,MONTH(H$5+3))+SUMPRODUCT((Vinduer!$A$5:$A$300=$A37)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7" s="19">
        <f>IF($A37="","",IF(COUNTIFS(Måned!$A$5:$A$2000,$A37,Måned!$C$5:$C$2000,MONTH(I$5+3))=0,"",MAX(1,MIN(5,SUMIFS(Måned!$H$5:$H$2000,Måned!$A$5:$A$2000,$A37,Måned!$C$5:$C$2000,MONTH(I$5+3))+SUMPRODUCT((Vinduer!$A$5:$A$300=$A37)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7" s="19">
        <f>IF($A37="","",IF(COUNTIFS(Måned!$A$5:$A$2000,$A37,Måned!$C$5:$C$2000,MONTH(J$5+3))=0,"",MAX(1,MIN(5,SUMIFS(Måned!$H$5:$H$2000,Måned!$A$5:$A$2000,$A37,Måned!$C$5:$C$2000,MONTH(J$5+3))+SUMPRODUCT((Vinduer!$A$5:$A$300=$A37)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7" s="19">
        <f>IF($A37="","",IF(COUNTIFS(Måned!$A$5:$A$2000,$A37,Måned!$C$5:$C$2000,MONTH(K$5+3))=0,"",MAX(1,MIN(5,SUMIFS(Måned!$H$5:$H$2000,Måned!$A$5:$A$2000,$A37,Måned!$C$5:$C$2000,MONTH(K$5+3))+SUMPRODUCT((Vinduer!$A$5:$A$300=$A37)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7" s="19">
        <f>IF($A37="","",IF(COUNTIFS(Måned!$A$5:$A$2000,$A37,Måned!$C$5:$C$2000,MONTH(L$5+3))=0,"",MAX(1,MIN(5,SUMIFS(Måned!$H$5:$H$2000,Måned!$A$5:$A$2000,$A37,Måned!$C$5:$C$2000,MONTH(L$5+3))+SUMPRODUCT((Vinduer!$A$5:$A$300=$A37)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7" s="19">
        <f>IF($A37="","",IF(COUNTIFS(Måned!$A$5:$A$2000,$A37,Måned!$C$5:$C$2000,MONTH(M$5+3))=0,"",MAX(1,MIN(5,SUMIFS(Måned!$H$5:$H$2000,Måned!$A$5:$A$2000,$A37,Måned!$C$5:$C$2000,MONTH(M$5+3))+SUMPRODUCT((Vinduer!$A$5:$A$300=$A37)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7" s="19">
        <f>IF($A37="","",IF(COUNTIFS(Måned!$A$5:$A$2000,$A37,Måned!$C$5:$C$2000,MONTH(N$5+3))=0,"",MAX(1,MIN(5,SUMIFS(Måned!$H$5:$H$2000,Måned!$A$5:$A$2000,$A37,Måned!$C$5:$C$2000,MONTH(N$5+3))+SUMPRODUCT((Vinduer!$A$5:$A$300=$A37)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7" s="19">
        <f>IF($A37="","",IF(COUNTIFS(Måned!$A$5:$A$2000,$A37,Måned!$C$5:$C$2000,MONTH(O$5+3))=0,"",MAX(1,MIN(5,SUMIFS(Måned!$H$5:$H$2000,Måned!$A$5:$A$2000,$A37,Måned!$C$5:$C$2000,MONTH(O$5+3))+SUMPRODUCT((Vinduer!$A$5:$A$300=$A37)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7" s="19">
        <f>IF($A37="","",IF(COUNTIFS(Måned!$A$5:$A$2000,$A37,Måned!$C$5:$C$2000,MONTH(P$5+3))=0,"",MAX(1,MIN(5,SUMIFS(Måned!$H$5:$H$2000,Måned!$A$5:$A$2000,$A37,Måned!$C$5:$C$2000,MONTH(P$5+3))+SUMPRODUCT((Vinduer!$A$5:$A$300=$A37)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7" s="19">
        <f>IF($A37="","",IF(COUNTIFS(Måned!$A$5:$A$2000,$A37,Måned!$C$5:$C$2000,MONTH(Q$5+3))=0,"",MAX(1,MIN(5,SUMIFS(Måned!$H$5:$H$2000,Måned!$A$5:$A$2000,$A37,Måned!$C$5:$C$2000,MONTH(Q$5+3))+SUMPRODUCT((Vinduer!$A$5:$A$300=$A37)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7" s="19">
        <f>IF($A37="","",IF(COUNTIFS(Måned!$A$5:$A$2000,$A37,Måned!$C$5:$C$2000,MONTH(R$5+3))=0,"",MAX(1,MIN(5,SUMIFS(Måned!$H$5:$H$2000,Måned!$A$5:$A$2000,$A37,Måned!$C$5:$C$2000,MONTH(R$5+3))+SUMPRODUCT((Vinduer!$A$5:$A$300=$A37)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7" s="19">
        <f>IF($A37="","",IF(COUNTIFS(Måned!$A$5:$A$2000,$A37,Måned!$C$5:$C$2000,MONTH(S$5+3))=0,"",MAX(1,MIN(5,SUMIFS(Måned!$H$5:$H$2000,Måned!$A$5:$A$2000,$A37,Måned!$C$5:$C$2000,MONTH(S$5+3))+SUMPRODUCT((Vinduer!$A$5:$A$300=$A37)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7" s="19">
        <f>IF($A37="","",IF(COUNTIFS(Måned!$A$5:$A$2000,$A37,Måned!$C$5:$C$2000,MONTH(T$5+3))=0,"",MAX(1,MIN(5,SUMIFS(Måned!$H$5:$H$2000,Måned!$A$5:$A$2000,$A37,Måned!$C$5:$C$2000,MONTH(T$5+3))+SUMPRODUCT((Vinduer!$A$5:$A$300=$A37)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7" s="19">
        <f>IF($A37="","",IF(COUNTIFS(Måned!$A$5:$A$2000,$A37,Måned!$C$5:$C$2000,MONTH(U$5+3))=0,"",MAX(1,MIN(5,SUMIFS(Måned!$H$5:$H$2000,Måned!$A$5:$A$2000,$A37,Måned!$C$5:$C$2000,MONTH(U$5+3))+SUMPRODUCT((Vinduer!$A$5:$A$300=$A37)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7" s="19">
        <f>IF($A37="","",IF(COUNTIFS(Måned!$A$5:$A$2000,$A37,Måned!$C$5:$C$2000,MONTH(V$5+3))=0,"",MAX(1,MIN(5,SUMIFS(Måned!$H$5:$H$2000,Måned!$A$5:$A$2000,$A37,Måned!$C$5:$C$2000,MONTH(V$5+3))+SUMPRODUCT((Vinduer!$A$5:$A$300=$A37)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7" s="19">
        <f>IF($A37="","",IF(COUNTIFS(Måned!$A$5:$A$2000,$A37,Måned!$C$5:$C$2000,MONTH(W$5+3))=0,"",MAX(1,MIN(5,SUMIFS(Måned!$H$5:$H$2000,Måned!$A$5:$A$2000,$A37,Måned!$C$5:$C$2000,MONTH(W$5+3))+SUMPRODUCT((Vinduer!$A$5:$A$300=$A37)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7" s="19">
        <f>IF($A37="","",IF(COUNTIFS(Måned!$A$5:$A$2000,$A37,Måned!$C$5:$C$2000,MONTH(X$5+3))=0,"",MAX(1,MIN(5,SUMIFS(Måned!$H$5:$H$2000,Måned!$A$5:$A$2000,$A37,Måned!$C$5:$C$2000,MONTH(X$5+3))+SUMPRODUCT((Vinduer!$A$5:$A$300=$A37)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7" s="19">
        <f>IF($A37="","",IF(COUNTIFS(Måned!$A$5:$A$2000,$A37,Måned!$C$5:$C$2000,MONTH(Y$5+3))=0,"",MAX(1,MIN(5,SUMIFS(Måned!$H$5:$H$2000,Måned!$A$5:$A$2000,$A37,Måned!$C$5:$C$2000,MONTH(Y$5+3))+SUMPRODUCT((Vinduer!$A$5:$A$300=$A37)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7" s="19">
        <f>IF($A37="","",IF(COUNTIFS(Måned!$A$5:$A$2000,$A37,Måned!$C$5:$C$2000,MONTH(Z$5+3))=0,"",MAX(1,MIN(5,SUMIFS(Måned!$H$5:$H$2000,Måned!$A$5:$A$2000,$A37,Måned!$C$5:$C$2000,MONTH(Z$5+3))+SUMPRODUCT((Vinduer!$A$5:$A$300=$A37)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7" s="19">
        <f>IF($A37="","",IF(COUNTIFS(Måned!$A$5:$A$2000,$A37,Måned!$C$5:$C$2000,MONTH(AA$5+3))=0,"",MAX(1,MIN(5,SUMIFS(Måned!$H$5:$H$2000,Måned!$A$5:$A$2000,$A37,Måned!$C$5:$C$2000,MONTH(AA$5+3))+SUMPRODUCT((Vinduer!$A$5:$A$300=$A37)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7" s="19">
        <f>IF($A37="","",IF(COUNTIFS(Måned!$A$5:$A$2000,$A37,Måned!$C$5:$C$2000,MONTH(AB$5+3))=0,"",MAX(1,MIN(5,SUMIFS(Måned!$H$5:$H$2000,Måned!$A$5:$A$2000,$A37,Måned!$C$5:$C$2000,MONTH(AB$5+3))+SUMPRODUCT((Vinduer!$A$5:$A$300=$A37)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7" s="19">
        <f>IF($A37="","",IF(COUNTIFS(Måned!$A$5:$A$2000,$A37,Måned!$C$5:$C$2000,MONTH(AC$5+3))=0,"",MAX(1,MIN(5,SUMIFS(Måned!$H$5:$H$2000,Måned!$A$5:$A$2000,$A37,Måned!$C$5:$C$2000,MONTH(AC$5+3))+SUMPRODUCT((Vinduer!$A$5:$A$300=$A37)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7" s="19">
        <f>IF($A37="","",IF(COUNTIFS(Måned!$A$5:$A$2000,$A37,Måned!$C$5:$C$2000,MONTH(AD$5+3))=0,"",MAX(1,MIN(5,SUMIFS(Måned!$H$5:$H$2000,Måned!$A$5:$A$2000,$A37,Måned!$C$5:$C$2000,MONTH(AD$5+3))+SUMPRODUCT((Vinduer!$A$5:$A$300=$A37)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7" s="19">
        <f>IF($A37="","",IF(COUNTIFS(Måned!$A$5:$A$2000,$A37,Måned!$C$5:$C$2000,MONTH(AE$5+3))=0,"",MAX(1,MIN(5,SUMIFS(Måned!$H$5:$H$2000,Måned!$A$5:$A$2000,$A37,Måned!$C$5:$C$2000,MONTH(AE$5+3))+SUMPRODUCT((Vinduer!$A$5:$A$300=$A37)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7" s="19">
        <f>IF($A37="","",IF(COUNTIFS(Måned!$A$5:$A$2000,$A37,Måned!$C$5:$C$2000,MONTH(AF$5+3))=0,"",MAX(1,MIN(5,SUMIFS(Måned!$H$5:$H$2000,Måned!$A$5:$A$2000,$A37,Måned!$C$5:$C$2000,MONTH(AF$5+3))+SUMPRODUCT((Vinduer!$A$5:$A$300=$A37)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7" s="19">
        <f>IF($A37="","",IF(COUNTIFS(Måned!$A$5:$A$2000,$A37,Måned!$C$5:$C$2000,MONTH(AG$5+3))=0,"",MAX(1,MIN(5,SUMIFS(Måned!$H$5:$H$2000,Måned!$A$5:$A$2000,$A37,Måned!$C$5:$C$2000,MONTH(AG$5+3))+SUMPRODUCT((Vinduer!$A$5:$A$300=$A37)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7" s="19">
        <f>IF($A37="","",IF(COUNTIFS(Måned!$A$5:$A$2000,$A37,Måned!$C$5:$C$2000,MONTH(AH$5+3))=0,"",MAX(1,MIN(5,SUMIFS(Måned!$H$5:$H$2000,Måned!$A$5:$A$2000,$A37,Måned!$C$5:$C$2000,MONTH(AH$5+3))+SUMPRODUCT((Vinduer!$A$5:$A$300=$A37)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7" s="19">
        <f>IF($A37="","",IF(COUNTIFS(Måned!$A$5:$A$2000,$A37,Måned!$C$5:$C$2000,MONTH(AI$5+3))=0,"",MAX(1,MIN(5,SUMIFS(Måned!$H$5:$H$2000,Måned!$A$5:$A$2000,$A37,Måned!$C$5:$C$2000,MONTH(AI$5+3))+SUMPRODUCT((Vinduer!$A$5:$A$300=$A37)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7" s="19">
        <f>IF($A37="","",IF(COUNTIFS(Måned!$A$5:$A$2000,$A37,Måned!$C$5:$C$2000,MONTH(AJ$5+3))=0,"",MAX(1,MIN(5,SUMIFS(Måned!$H$5:$H$2000,Måned!$A$5:$A$2000,$A37,Måned!$C$5:$C$2000,MONTH(AJ$5+3))+SUMPRODUCT((Vinduer!$A$5:$A$300=$A37)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7" s="19">
        <f>IF($A37="","",IF(COUNTIFS(Måned!$A$5:$A$2000,$A37,Måned!$C$5:$C$2000,MONTH(AK$5+3))=0,"",MAX(1,MIN(5,SUMIFS(Måned!$H$5:$H$2000,Måned!$A$5:$A$2000,$A37,Måned!$C$5:$C$2000,MONTH(AK$5+3))+SUMPRODUCT((Vinduer!$A$5:$A$300=$A37)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7" s="19">
        <f>IF($A37="","",IF(COUNTIFS(Måned!$A$5:$A$2000,$A37,Måned!$C$5:$C$2000,MONTH(AL$5+3))=0,"",MAX(1,MIN(5,SUMIFS(Måned!$H$5:$H$2000,Måned!$A$5:$A$2000,$A37,Måned!$C$5:$C$2000,MONTH(AL$5+3))+SUMPRODUCT((Vinduer!$A$5:$A$300=$A37)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7" s="19">
        <f>IF($A37="","",IF(COUNTIFS(Måned!$A$5:$A$2000,$A37,Måned!$C$5:$C$2000,MONTH(AM$5+3))=0,"",MAX(1,MIN(5,SUMIFS(Måned!$H$5:$H$2000,Måned!$A$5:$A$2000,$A37,Måned!$C$5:$C$2000,MONTH(AM$5+3))+SUMPRODUCT((Vinduer!$A$5:$A$300=$A37)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7" s="19">
        <f>IF($A37="","",IF(COUNTIFS(Måned!$A$5:$A$2000,$A37,Måned!$C$5:$C$2000,MONTH(AN$5+3))=0,"",MAX(1,MIN(5,SUMIFS(Måned!$H$5:$H$2000,Måned!$A$5:$A$2000,$A37,Måned!$C$5:$C$2000,MONTH(AN$5+3))+SUMPRODUCT((Vinduer!$A$5:$A$300=$A37)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7" s="19">
        <f>IF($A37="","",IF(COUNTIFS(Måned!$A$5:$A$2000,$A37,Måned!$C$5:$C$2000,MONTH(AO$5+3))=0,"",MAX(1,MIN(5,SUMIFS(Måned!$H$5:$H$2000,Måned!$A$5:$A$2000,$A37,Måned!$C$5:$C$2000,MONTH(AO$5+3))+SUMPRODUCT((Vinduer!$A$5:$A$300=$A37)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7" s="19">
        <f>IF($A37="","",IF(COUNTIFS(Måned!$A$5:$A$2000,$A37,Måned!$C$5:$C$2000,MONTH(AP$5+3))=0,"",MAX(1,MIN(5,SUMIFS(Måned!$H$5:$H$2000,Måned!$A$5:$A$2000,$A37,Måned!$C$5:$C$2000,MONTH(AP$5+3))+SUMPRODUCT((Vinduer!$A$5:$A$300=$A37)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7" s="19">
        <f>IF($A37="","",IF(COUNTIFS(Måned!$A$5:$A$2000,$A37,Måned!$C$5:$C$2000,MONTH(AQ$5+3))=0,"",MAX(1,MIN(5,SUMIFS(Måned!$H$5:$H$2000,Måned!$A$5:$A$2000,$A37,Måned!$C$5:$C$2000,MONTH(AQ$5+3))+SUMPRODUCT((Vinduer!$A$5:$A$300=$A37)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7" s="19">
        <f>IF($A37="","",IF(COUNTIFS(Måned!$A$5:$A$2000,$A37,Måned!$C$5:$C$2000,MONTH(AR$5+3))=0,"",MAX(1,MIN(5,SUMIFS(Måned!$H$5:$H$2000,Måned!$A$5:$A$2000,$A37,Måned!$C$5:$C$2000,MONTH(AR$5+3))+SUMPRODUCT((Vinduer!$A$5:$A$300=$A37)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7" s="19">
        <f>IF($A37="","",IF(COUNTIFS(Måned!$A$5:$A$2000,$A37,Måned!$C$5:$C$2000,MONTH(AS$5+3))=0,"",MAX(1,MIN(5,SUMIFS(Måned!$H$5:$H$2000,Måned!$A$5:$A$2000,$A37,Måned!$C$5:$C$2000,MONTH(AS$5+3))+SUMPRODUCT((Vinduer!$A$5:$A$300=$A37)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7" s="19">
        <f>IF($A37="","",IF(COUNTIFS(Måned!$A$5:$A$2000,$A37,Måned!$C$5:$C$2000,MONTH(AT$5+3))=0,"",MAX(1,MIN(5,SUMIFS(Måned!$H$5:$H$2000,Måned!$A$5:$A$2000,$A37,Måned!$C$5:$C$2000,MONTH(AT$5+3))+SUMPRODUCT((Vinduer!$A$5:$A$300=$A37)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7" s="19">
        <f>IF($A37="","",IF(COUNTIFS(Måned!$A$5:$A$2000,$A37,Måned!$C$5:$C$2000,MONTH(AU$5+3))=0,"",MAX(1,MIN(5,SUMIFS(Måned!$H$5:$H$2000,Måned!$A$5:$A$2000,$A37,Måned!$C$5:$C$2000,MONTH(AU$5+3))+SUMPRODUCT((Vinduer!$A$5:$A$300=$A37)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7" s="19">
        <f>IF($A37="","",IF(COUNTIFS(Måned!$A$5:$A$2000,$A37,Måned!$C$5:$C$2000,MONTH(AV$5+3))=0,"",MAX(1,MIN(5,SUMIFS(Måned!$H$5:$H$2000,Måned!$A$5:$A$2000,$A37,Måned!$C$5:$C$2000,MONTH(AV$5+3))+SUMPRODUCT((Vinduer!$A$5:$A$300=$A37)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7" s="19">
        <f>IF($A37="","",IF(COUNTIFS(Måned!$A$5:$A$2000,$A37,Måned!$C$5:$C$2000,MONTH(AW$5+3))=0,"",MAX(1,MIN(5,SUMIFS(Måned!$H$5:$H$2000,Måned!$A$5:$A$2000,$A37,Måned!$C$5:$C$2000,MONTH(AW$5+3))+SUMPRODUCT((Vinduer!$A$5:$A$300=$A37)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7" s="19">
        <f>IF($A37="","",IF(COUNTIFS(Måned!$A$5:$A$2000,$A37,Måned!$C$5:$C$2000,MONTH(AX$5+3))=0,"",MAX(1,MIN(5,SUMIFS(Måned!$H$5:$H$2000,Måned!$A$5:$A$2000,$A37,Måned!$C$5:$C$2000,MONTH(AX$5+3))+SUMPRODUCT((Vinduer!$A$5:$A$300=$A37)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7" s="19">
        <f>IF($A37="","",IF(COUNTIFS(Måned!$A$5:$A$2000,$A37,Måned!$C$5:$C$2000,MONTH(AY$5+3))=0,"",MAX(1,MIN(5,SUMIFS(Måned!$H$5:$H$2000,Måned!$A$5:$A$2000,$A37,Måned!$C$5:$C$2000,MONTH(AY$5+3))+SUMPRODUCT((Vinduer!$A$5:$A$300=$A37)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7" s="19">
        <f>IF($A37="","",IF(COUNTIFS(Måned!$A$5:$A$2000,$A37,Måned!$C$5:$C$2000,MONTH(AZ$5+3))=0,"",MAX(1,MIN(5,SUMIFS(Måned!$H$5:$H$2000,Måned!$A$5:$A$2000,$A37,Måned!$C$5:$C$2000,MONTH(AZ$5+3))+SUMPRODUCT((Vinduer!$A$5:$A$300=$A37)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7" s="19">
        <f>IF($A37="","",IF(COUNTIFS(Måned!$A$5:$A$2000,$A37,Måned!$C$5:$C$2000,MONTH(BA$5+3))=0,"",MAX(1,MIN(5,SUMIFS(Måned!$H$5:$H$2000,Måned!$A$5:$A$2000,$A37,Måned!$C$5:$C$2000,MONTH(BA$5+3))+SUMPRODUCT((Vinduer!$A$5:$A$300=$A37)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7" s="19">
        <f>IF($A37="","",IF(COUNTIFS(Måned!$A$5:$A$2000,$A37,Måned!$C$5:$C$2000,MONTH(BB$5+3))=0,"",MAX(1,MIN(5,SUMIFS(Måned!$H$5:$H$2000,Måned!$A$5:$A$2000,$A37,Måned!$C$5:$C$2000,MONTH(BB$5+3))+SUMPRODUCT((Vinduer!$A$5:$A$300=$A37)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7" s="19">
        <f>IF($A37="","",IF(COUNTIFS(Måned!$A$5:$A$2000,$A37,Måned!$C$5:$C$2000,MONTH(BC$5+3))=0,"",MAX(1,MIN(5,SUMIFS(Måned!$H$5:$H$2000,Måned!$A$5:$A$2000,$A37,Måned!$C$5:$C$2000,MONTH(BC$5+3))+SUMPRODUCT((Vinduer!$A$5:$A$300=$A37)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7" s="19">
        <f>IF($A37="","",IF(COUNTIFS(Måned!$A$5:$A$2000,$A37,Måned!$C$5:$C$2000,MONTH(BD$5+3))=0,"",MAX(1,MIN(5,SUMIFS(Måned!$H$5:$H$2000,Måned!$A$5:$A$2000,$A37,Måned!$C$5:$C$2000,MONTH(BD$5+3))+SUMPRODUCT((Vinduer!$A$5:$A$300=$A37)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7" s="19">
        <f>IF($A37="","",IF(COUNTIFS(Måned!$A$5:$A$2000,$A37,Måned!$C$5:$C$2000,MONTH(BE$5+3))=0,"",MAX(1,MIN(5,SUMIFS(Måned!$H$5:$H$2000,Måned!$A$5:$A$2000,$A37,Måned!$C$5:$C$2000,MONTH(BE$5+3))+SUMPRODUCT((Vinduer!$A$5:$A$300=$A37)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8">
      <c r="A38" s="5">
        <f>IF(Destinasjoner!A34="","",Destinasjoner!A34)</f>
        <v/>
      </c>
      <c r="B38" s="5">
        <f>IF(A38="","",Destinasjoner!E34)</f>
        <v/>
      </c>
      <c r="C38" s="5">
        <f>IF(A38="","",Destinasjoner!B34)</f>
        <v/>
      </c>
      <c r="D38" s="17">
        <f>IFERROR(SUMIFS(F38:BE38,$F$7:$BE$7,"x")/COUNTIFS($F$7:$BE$7,"x",F38:BE38,"&gt;0"),"")</f>
        <v/>
      </c>
      <c r="E38" s="18">
        <f>IF(D38="","",_xlfn.MINIFS(F38:BE38,$F$7:$BE$7,"x",F38:BE38,"&gt;0"))</f>
        <v/>
      </c>
      <c r="F38" s="19">
        <f>IF($A38="","",IF(COUNTIFS(Måned!$A$5:$A$2000,$A38,Måned!$C$5:$C$2000,MONTH(F$5+3))=0,"",MAX(1,MIN(5,SUMIFS(Måned!$H$5:$H$2000,Måned!$A$5:$A$2000,$A38,Måned!$C$5:$C$2000,MONTH(F$5+3))+SUMPRODUCT((Vinduer!$A$5:$A$300=$A38)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8" s="19">
        <f>IF($A38="","",IF(COUNTIFS(Måned!$A$5:$A$2000,$A38,Måned!$C$5:$C$2000,MONTH(G$5+3))=0,"",MAX(1,MIN(5,SUMIFS(Måned!$H$5:$H$2000,Måned!$A$5:$A$2000,$A38,Måned!$C$5:$C$2000,MONTH(G$5+3))+SUMPRODUCT((Vinduer!$A$5:$A$300=$A38)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8" s="19">
        <f>IF($A38="","",IF(COUNTIFS(Måned!$A$5:$A$2000,$A38,Måned!$C$5:$C$2000,MONTH(H$5+3))=0,"",MAX(1,MIN(5,SUMIFS(Måned!$H$5:$H$2000,Måned!$A$5:$A$2000,$A38,Måned!$C$5:$C$2000,MONTH(H$5+3))+SUMPRODUCT((Vinduer!$A$5:$A$300=$A38)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8" s="19">
        <f>IF($A38="","",IF(COUNTIFS(Måned!$A$5:$A$2000,$A38,Måned!$C$5:$C$2000,MONTH(I$5+3))=0,"",MAX(1,MIN(5,SUMIFS(Måned!$H$5:$H$2000,Måned!$A$5:$A$2000,$A38,Måned!$C$5:$C$2000,MONTH(I$5+3))+SUMPRODUCT((Vinduer!$A$5:$A$300=$A38)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8" s="19">
        <f>IF($A38="","",IF(COUNTIFS(Måned!$A$5:$A$2000,$A38,Måned!$C$5:$C$2000,MONTH(J$5+3))=0,"",MAX(1,MIN(5,SUMIFS(Måned!$H$5:$H$2000,Måned!$A$5:$A$2000,$A38,Måned!$C$5:$C$2000,MONTH(J$5+3))+SUMPRODUCT((Vinduer!$A$5:$A$300=$A38)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8" s="19">
        <f>IF($A38="","",IF(COUNTIFS(Måned!$A$5:$A$2000,$A38,Måned!$C$5:$C$2000,MONTH(K$5+3))=0,"",MAX(1,MIN(5,SUMIFS(Måned!$H$5:$H$2000,Måned!$A$5:$A$2000,$A38,Måned!$C$5:$C$2000,MONTH(K$5+3))+SUMPRODUCT((Vinduer!$A$5:$A$300=$A38)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8" s="19">
        <f>IF($A38="","",IF(COUNTIFS(Måned!$A$5:$A$2000,$A38,Måned!$C$5:$C$2000,MONTH(L$5+3))=0,"",MAX(1,MIN(5,SUMIFS(Måned!$H$5:$H$2000,Måned!$A$5:$A$2000,$A38,Måned!$C$5:$C$2000,MONTH(L$5+3))+SUMPRODUCT((Vinduer!$A$5:$A$300=$A38)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8" s="19">
        <f>IF($A38="","",IF(COUNTIFS(Måned!$A$5:$A$2000,$A38,Måned!$C$5:$C$2000,MONTH(M$5+3))=0,"",MAX(1,MIN(5,SUMIFS(Måned!$H$5:$H$2000,Måned!$A$5:$A$2000,$A38,Måned!$C$5:$C$2000,MONTH(M$5+3))+SUMPRODUCT((Vinduer!$A$5:$A$300=$A38)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8" s="19">
        <f>IF($A38="","",IF(COUNTIFS(Måned!$A$5:$A$2000,$A38,Måned!$C$5:$C$2000,MONTH(N$5+3))=0,"",MAX(1,MIN(5,SUMIFS(Måned!$H$5:$H$2000,Måned!$A$5:$A$2000,$A38,Måned!$C$5:$C$2000,MONTH(N$5+3))+SUMPRODUCT((Vinduer!$A$5:$A$300=$A38)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8" s="19">
        <f>IF($A38="","",IF(COUNTIFS(Måned!$A$5:$A$2000,$A38,Måned!$C$5:$C$2000,MONTH(O$5+3))=0,"",MAX(1,MIN(5,SUMIFS(Måned!$H$5:$H$2000,Måned!$A$5:$A$2000,$A38,Måned!$C$5:$C$2000,MONTH(O$5+3))+SUMPRODUCT((Vinduer!$A$5:$A$300=$A38)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8" s="19">
        <f>IF($A38="","",IF(COUNTIFS(Måned!$A$5:$A$2000,$A38,Måned!$C$5:$C$2000,MONTH(P$5+3))=0,"",MAX(1,MIN(5,SUMIFS(Måned!$H$5:$H$2000,Måned!$A$5:$A$2000,$A38,Måned!$C$5:$C$2000,MONTH(P$5+3))+SUMPRODUCT((Vinduer!$A$5:$A$300=$A38)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8" s="19">
        <f>IF($A38="","",IF(COUNTIFS(Måned!$A$5:$A$2000,$A38,Måned!$C$5:$C$2000,MONTH(Q$5+3))=0,"",MAX(1,MIN(5,SUMIFS(Måned!$H$5:$H$2000,Måned!$A$5:$A$2000,$A38,Måned!$C$5:$C$2000,MONTH(Q$5+3))+SUMPRODUCT((Vinduer!$A$5:$A$300=$A38)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8" s="19">
        <f>IF($A38="","",IF(COUNTIFS(Måned!$A$5:$A$2000,$A38,Måned!$C$5:$C$2000,MONTH(R$5+3))=0,"",MAX(1,MIN(5,SUMIFS(Måned!$H$5:$H$2000,Måned!$A$5:$A$2000,$A38,Måned!$C$5:$C$2000,MONTH(R$5+3))+SUMPRODUCT((Vinduer!$A$5:$A$300=$A38)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8" s="19">
        <f>IF($A38="","",IF(COUNTIFS(Måned!$A$5:$A$2000,$A38,Måned!$C$5:$C$2000,MONTH(S$5+3))=0,"",MAX(1,MIN(5,SUMIFS(Måned!$H$5:$H$2000,Måned!$A$5:$A$2000,$A38,Måned!$C$5:$C$2000,MONTH(S$5+3))+SUMPRODUCT((Vinduer!$A$5:$A$300=$A38)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8" s="19">
        <f>IF($A38="","",IF(COUNTIFS(Måned!$A$5:$A$2000,$A38,Måned!$C$5:$C$2000,MONTH(T$5+3))=0,"",MAX(1,MIN(5,SUMIFS(Måned!$H$5:$H$2000,Måned!$A$5:$A$2000,$A38,Måned!$C$5:$C$2000,MONTH(T$5+3))+SUMPRODUCT((Vinduer!$A$5:$A$300=$A38)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8" s="19">
        <f>IF($A38="","",IF(COUNTIFS(Måned!$A$5:$A$2000,$A38,Måned!$C$5:$C$2000,MONTH(U$5+3))=0,"",MAX(1,MIN(5,SUMIFS(Måned!$H$5:$H$2000,Måned!$A$5:$A$2000,$A38,Måned!$C$5:$C$2000,MONTH(U$5+3))+SUMPRODUCT((Vinduer!$A$5:$A$300=$A38)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8" s="19">
        <f>IF($A38="","",IF(COUNTIFS(Måned!$A$5:$A$2000,$A38,Måned!$C$5:$C$2000,MONTH(V$5+3))=0,"",MAX(1,MIN(5,SUMIFS(Måned!$H$5:$H$2000,Måned!$A$5:$A$2000,$A38,Måned!$C$5:$C$2000,MONTH(V$5+3))+SUMPRODUCT((Vinduer!$A$5:$A$300=$A38)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8" s="19">
        <f>IF($A38="","",IF(COUNTIFS(Måned!$A$5:$A$2000,$A38,Måned!$C$5:$C$2000,MONTH(W$5+3))=0,"",MAX(1,MIN(5,SUMIFS(Måned!$H$5:$H$2000,Måned!$A$5:$A$2000,$A38,Måned!$C$5:$C$2000,MONTH(W$5+3))+SUMPRODUCT((Vinduer!$A$5:$A$300=$A38)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8" s="19">
        <f>IF($A38="","",IF(COUNTIFS(Måned!$A$5:$A$2000,$A38,Måned!$C$5:$C$2000,MONTH(X$5+3))=0,"",MAX(1,MIN(5,SUMIFS(Måned!$H$5:$H$2000,Måned!$A$5:$A$2000,$A38,Måned!$C$5:$C$2000,MONTH(X$5+3))+SUMPRODUCT((Vinduer!$A$5:$A$300=$A38)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8" s="19">
        <f>IF($A38="","",IF(COUNTIFS(Måned!$A$5:$A$2000,$A38,Måned!$C$5:$C$2000,MONTH(Y$5+3))=0,"",MAX(1,MIN(5,SUMIFS(Måned!$H$5:$H$2000,Måned!$A$5:$A$2000,$A38,Måned!$C$5:$C$2000,MONTH(Y$5+3))+SUMPRODUCT((Vinduer!$A$5:$A$300=$A38)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8" s="19">
        <f>IF($A38="","",IF(COUNTIFS(Måned!$A$5:$A$2000,$A38,Måned!$C$5:$C$2000,MONTH(Z$5+3))=0,"",MAX(1,MIN(5,SUMIFS(Måned!$H$5:$H$2000,Måned!$A$5:$A$2000,$A38,Måned!$C$5:$C$2000,MONTH(Z$5+3))+SUMPRODUCT((Vinduer!$A$5:$A$300=$A38)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8" s="19">
        <f>IF($A38="","",IF(COUNTIFS(Måned!$A$5:$A$2000,$A38,Måned!$C$5:$C$2000,MONTH(AA$5+3))=0,"",MAX(1,MIN(5,SUMIFS(Måned!$H$5:$H$2000,Måned!$A$5:$A$2000,$A38,Måned!$C$5:$C$2000,MONTH(AA$5+3))+SUMPRODUCT((Vinduer!$A$5:$A$300=$A38)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8" s="19">
        <f>IF($A38="","",IF(COUNTIFS(Måned!$A$5:$A$2000,$A38,Måned!$C$5:$C$2000,MONTH(AB$5+3))=0,"",MAX(1,MIN(5,SUMIFS(Måned!$H$5:$H$2000,Måned!$A$5:$A$2000,$A38,Måned!$C$5:$C$2000,MONTH(AB$5+3))+SUMPRODUCT((Vinduer!$A$5:$A$300=$A38)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8" s="19">
        <f>IF($A38="","",IF(COUNTIFS(Måned!$A$5:$A$2000,$A38,Måned!$C$5:$C$2000,MONTH(AC$5+3))=0,"",MAX(1,MIN(5,SUMIFS(Måned!$H$5:$H$2000,Måned!$A$5:$A$2000,$A38,Måned!$C$5:$C$2000,MONTH(AC$5+3))+SUMPRODUCT((Vinduer!$A$5:$A$300=$A38)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8" s="19">
        <f>IF($A38="","",IF(COUNTIFS(Måned!$A$5:$A$2000,$A38,Måned!$C$5:$C$2000,MONTH(AD$5+3))=0,"",MAX(1,MIN(5,SUMIFS(Måned!$H$5:$H$2000,Måned!$A$5:$A$2000,$A38,Måned!$C$5:$C$2000,MONTH(AD$5+3))+SUMPRODUCT((Vinduer!$A$5:$A$300=$A38)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8" s="19">
        <f>IF($A38="","",IF(COUNTIFS(Måned!$A$5:$A$2000,$A38,Måned!$C$5:$C$2000,MONTH(AE$5+3))=0,"",MAX(1,MIN(5,SUMIFS(Måned!$H$5:$H$2000,Måned!$A$5:$A$2000,$A38,Måned!$C$5:$C$2000,MONTH(AE$5+3))+SUMPRODUCT((Vinduer!$A$5:$A$300=$A38)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8" s="19">
        <f>IF($A38="","",IF(COUNTIFS(Måned!$A$5:$A$2000,$A38,Måned!$C$5:$C$2000,MONTH(AF$5+3))=0,"",MAX(1,MIN(5,SUMIFS(Måned!$H$5:$H$2000,Måned!$A$5:$A$2000,$A38,Måned!$C$5:$C$2000,MONTH(AF$5+3))+SUMPRODUCT((Vinduer!$A$5:$A$300=$A38)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8" s="19">
        <f>IF($A38="","",IF(COUNTIFS(Måned!$A$5:$A$2000,$A38,Måned!$C$5:$C$2000,MONTH(AG$5+3))=0,"",MAX(1,MIN(5,SUMIFS(Måned!$H$5:$H$2000,Måned!$A$5:$A$2000,$A38,Måned!$C$5:$C$2000,MONTH(AG$5+3))+SUMPRODUCT((Vinduer!$A$5:$A$300=$A38)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8" s="19">
        <f>IF($A38="","",IF(COUNTIFS(Måned!$A$5:$A$2000,$A38,Måned!$C$5:$C$2000,MONTH(AH$5+3))=0,"",MAX(1,MIN(5,SUMIFS(Måned!$H$5:$H$2000,Måned!$A$5:$A$2000,$A38,Måned!$C$5:$C$2000,MONTH(AH$5+3))+SUMPRODUCT((Vinduer!$A$5:$A$300=$A38)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8" s="19">
        <f>IF($A38="","",IF(COUNTIFS(Måned!$A$5:$A$2000,$A38,Måned!$C$5:$C$2000,MONTH(AI$5+3))=0,"",MAX(1,MIN(5,SUMIFS(Måned!$H$5:$H$2000,Måned!$A$5:$A$2000,$A38,Måned!$C$5:$C$2000,MONTH(AI$5+3))+SUMPRODUCT((Vinduer!$A$5:$A$300=$A38)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8" s="19">
        <f>IF($A38="","",IF(COUNTIFS(Måned!$A$5:$A$2000,$A38,Måned!$C$5:$C$2000,MONTH(AJ$5+3))=0,"",MAX(1,MIN(5,SUMIFS(Måned!$H$5:$H$2000,Måned!$A$5:$A$2000,$A38,Måned!$C$5:$C$2000,MONTH(AJ$5+3))+SUMPRODUCT((Vinduer!$A$5:$A$300=$A38)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8" s="19">
        <f>IF($A38="","",IF(COUNTIFS(Måned!$A$5:$A$2000,$A38,Måned!$C$5:$C$2000,MONTH(AK$5+3))=0,"",MAX(1,MIN(5,SUMIFS(Måned!$H$5:$H$2000,Måned!$A$5:$A$2000,$A38,Måned!$C$5:$C$2000,MONTH(AK$5+3))+SUMPRODUCT((Vinduer!$A$5:$A$300=$A38)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8" s="19">
        <f>IF($A38="","",IF(COUNTIFS(Måned!$A$5:$A$2000,$A38,Måned!$C$5:$C$2000,MONTH(AL$5+3))=0,"",MAX(1,MIN(5,SUMIFS(Måned!$H$5:$H$2000,Måned!$A$5:$A$2000,$A38,Måned!$C$5:$C$2000,MONTH(AL$5+3))+SUMPRODUCT((Vinduer!$A$5:$A$300=$A38)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8" s="19">
        <f>IF($A38="","",IF(COUNTIFS(Måned!$A$5:$A$2000,$A38,Måned!$C$5:$C$2000,MONTH(AM$5+3))=0,"",MAX(1,MIN(5,SUMIFS(Måned!$H$5:$H$2000,Måned!$A$5:$A$2000,$A38,Måned!$C$5:$C$2000,MONTH(AM$5+3))+SUMPRODUCT((Vinduer!$A$5:$A$300=$A38)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8" s="19">
        <f>IF($A38="","",IF(COUNTIFS(Måned!$A$5:$A$2000,$A38,Måned!$C$5:$C$2000,MONTH(AN$5+3))=0,"",MAX(1,MIN(5,SUMIFS(Måned!$H$5:$H$2000,Måned!$A$5:$A$2000,$A38,Måned!$C$5:$C$2000,MONTH(AN$5+3))+SUMPRODUCT((Vinduer!$A$5:$A$300=$A38)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8" s="19">
        <f>IF($A38="","",IF(COUNTIFS(Måned!$A$5:$A$2000,$A38,Måned!$C$5:$C$2000,MONTH(AO$5+3))=0,"",MAX(1,MIN(5,SUMIFS(Måned!$H$5:$H$2000,Måned!$A$5:$A$2000,$A38,Måned!$C$5:$C$2000,MONTH(AO$5+3))+SUMPRODUCT((Vinduer!$A$5:$A$300=$A38)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8" s="19">
        <f>IF($A38="","",IF(COUNTIFS(Måned!$A$5:$A$2000,$A38,Måned!$C$5:$C$2000,MONTH(AP$5+3))=0,"",MAX(1,MIN(5,SUMIFS(Måned!$H$5:$H$2000,Måned!$A$5:$A$2000,$A38,Måned!$C$5:$C$2000,MONTH(AP$5+3))+SUMPRODUCT((Vinduer!$A$5:$A$300=$A38)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8" s="19">
        <f>IF($A38="","",IF(COUNTIFS(Måned!$A$5:$A$2000,$A38,Måned!$C$5:$C$2000,MONTH(AQ$5+3))=0,"",MAX(1,MIN(5,SUMIFS(Måned!$H$5:$H$2000,Måned!$A$5:$A$2000,$A38,Måned!$C$5:$C$2000,MONTH(AQ$5+3))+SUMPRODUCT((Vinduer!$A$5:$A$300=$A38)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8" s="19">
        <f>IF($A38="","",IF(COUNTIFS(Måned!$A$5:$A$2000,$A38,Måned!$C$5:$C$2000,MONTH(AR$5+3))=0,"",MAX(1,MIN(5,SUMIFS(Måned!$H$5:$H$2000,Måned!$A$5:$A$2000,$A38,Måned!$C$5:$C$2000,MONTH(AR$5+3))+SUMPRODUCT((Vinduer!$A$5:$A$300=$A38)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8" s="19">
        <f>IF($A38="","",IF(COUNTIFS(Måned!$A$5:$A$2000,$A38,Måned!$C$5:$C$2000,MONTH(AS$5+3))=0,"",MAX(1,MIN(5,SUMIFS(Måned!$H$5:$H$2000,Måned!$A$5:$A$2000,$A38,Måned!$C$5:$C$2000,MONTH(AS$5+3))+SUMPRODUCT((Vinduer!$A$5:$A$300=$A38)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8" s="19">
        <f>IF($A38="","",IF(COUNTIFS(Måned!$A$5:$A$2000,$A38,Måned!$C$5:$C$2000,MONTH(AT$5+3))=0,"",MAX(1,MIN(5,SUMIFS(Måned!$H$5:$H$2000,Måned!$A$5:$A$2000,$A38,Måned!$C$5:$C$2000,MONTH(AT$5+3))+SUMPRODUCT((Vinduer!$A$5:$A$300=$A38)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8" s="19">
        <f>IF($A38="","",IF(COUNTIFS(Måned!$A$5:$A$2000,$A38,Måned!$C$5:$C$2000,MONTH(AU$5+3))=0,"",MAX(1,MIN(5,SUMIFS(Måned!$H$5:$H$2000,Måned!$A$5:$A$2000,$A38,Måned!$C$5:$C$2000,MONTH(AU$5+3))+SUMPRODUCT((Vinduer!$A$5:$A$300=$A38)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8" s="19">
        <f>IF($A38="","",IF(COUNTIFS(Måned!$A$5:$A$2000,$A38,Måned!$C$5:$C$2000,MONTH(AV$5+3))=0,"",MAX(1,MIN(5,SUMIFS(Måned!$H$5:$H$2000,Måned!$A$5:$A$2000,$A38,Måned!$C$5:$C$2000,MONTH(AV$5+3))+SUMPRODUCT((Vinduer!$A$5:$A$300=$A38)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8" s="19">
        <f>IF($A38="","",IF(COUNTIFS(Måned!$A$5:$A$2000,$A38,Måned!$C$5:$C$2000,MONTH(AW$5+3))=0,"",MAX(1,MIN(5,SUMIFS(Måned!$H$5:$H$2000,Måned!$A$5:$A$2000,$A38,Måned!$C$5:$C$2000,MONTH(AW$5+3))+SUMPRODUCT((Vinduer!$A$5:$A$300=$A38)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8" s="19">
        <f>IF($A38="","",IF(COUNTIFS(Måned!$A$5:$A$2000,$A38,Måned!$C$5:$C$2000,MONTH(AX$5+3))=0,"",MAX(1,MIN(5,SUMIFS(Måned!$H$5:$H$2000,Måned!$A$5:$A$2000,$A38,Måned!$C$5:$C$2000,MONTH(AX$5+3))+SUMPRODUCT((Vinduer!$A$5:$A$300=$A38)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8" s="19">
        <f>IF($A38="","",IF(COUNTIFS(Måned!$A$5:$A$2000,$A38,Måned!$C$5:$C$2000,MONTH(AY$5+3))=0,"",MAX(1,MIN(5,SUMIFS(Måned!$H$5:$H$2000,Måned!$A$5:$A$2000,$A38,Måned!$C$5:$C$2000,MONTH(AY$5+3))+SUMPRODUCT((Vinduer!$A$5:$A$300=$A38)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8" s="19">
        <f>IF($A38="","",IF(COUNTIFS(Måned!$A$5:$A$2000,$A38,Måned!$C$5:$C$2000,MONTH(AZ$5+3))=0,"",MAX(1,MIN(5,SUMIFS(Måned!$H$5:$H$2000,Måned!$A$5:$A$2000,$A38,Måned!$C$5:$C$2000,MONTH(AZ$5+3))+SUMPRODUCT((Vinduer!$A$5:$A$300=$A38)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8" s="19">
        <f>IF($A38="","",IF(COUNTIFS(Måned!$A$5:$A$2000,$A38,Måned!$C$5:$C$2000,MONTH(BA$5+3))=0,"",MAX(1,MIN(5,SUMIFS(Måned!$H$5:$H$2000,Måned!$A$5:$A$2000,$A38,Måned!$C$5:$C$2000,MONTH(BA$5+3))+SUMPRODUCT((Vinduer!$A$5:$A$300=$A38)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8" s="19">
        <f>IF($A38="","",IF(COUNTIFS(Måned!$A$5:$A$2000,$A38,Måned!$C$5:$C$2000,MONTH(BB$5+3))=0,"",MAX(1,MIN(5,SUMIFS(Måned!$H$5:$H$2000,Måned!$A$5:$A$2000,$A38,Måned!$C$5:$C$2000,MONTH(BB$5+3))+SUMPRODUCT((Vinduer!$A$5:$A$300=$A38)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8" s="19">
        <f>IF($A38="","",IF(COUNTIFS(Måned!$A$5:$A$2000,$A38,Måned!$C$5:$C$2000,MONTH(BC$5+3))=0,"",MAX(1,MIN(5,SUMIFS(Måned!$H$5:$H$2000,Måned!$A$5:$A$2000,$A38,Måned!$C$5:$C$2000,MONTH(BC$5+3))+SUMPRODUCT((Vinduer!$A$5:$A$300=$A38)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8" s="19">
        <f>IF($A38="","",IF(COUNTIFS(Måned!$A$5:$A$2000,$A38,Måned!$C$5:$C$2000,MONTH(BD$5+3))=0,"",MAX(1,MIN(5,SUMIFS(Måned!$H$5:$H$2000,Måned!$A$5:$A$2000,$A38,Måned!$C$5:$C$2000,MONTH(BD$5+3))+SUMPRODUCT((Vinduer!$A$5:$A$300=$A38)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8" s="19">
        <f>IF($A38="","",IF(COUNTIFS(Måned!$A$5:$A$2000,$A38,Måned!$C$5:$C$2000,MONTH(BE$5+3))=0,"",MAX(1,MIN(5,SUMIFS(Måned!$H$5:$H$2000,Måned!$A$5:$A$2000,$A38,Måned!$C$5:$C$2000,MONTH(BE$5+3))+SUMPRODUCT((Vinduer!$A$5:$A$300=$A38)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39">
      <c r="A39" s="5">
        <f>IF(Destinasjoner!A35="","",Destinasjoner!A35)</f>
        <v/>
      </c>
      <c r="B39" s="5">
        <f>IF(A39="","",Destinasjoner!E35)</f>
        <v/>
      </c>
      <c r="C39" s="5">
        <f>IF(A39="","",Destinasjoner!B35)</f>
        <v/>
      </c>
      <c r="D39" s="17">
        <f>IFERROR(SUMIFS(F39:BE39,$F$7:$BE$7,"x")/COUNTIFS($F$7:$BE$7,"x",F39:BE39,"&gt;0"),"")</f>
        <v/>
      </c>
      <c r="E39" s="18">
        <f>IF(D39="","",_xlfn.MINIFS(F39:BE39,$F$7:$BE$7,"x",F39:BE39,"&gt;0"))</f>
        <v/>
      </c>
      <c r="F39" s="19">
        <f>IF($A39="","",IF(COUNTIFS(Måned!$A$5:$A$2000,$A39,Måned!$C$5:$C$2000,MONTH(F$5+3))=0,"",MAX(1,MIN(5,SUMIFS(Måned!$H$5:$H$2000,Måned!$A$5:$A$2000,$A39,Måned!$C$5:$C$2000,MONTH(F$5+3))+SUMPRODUCT((Vinduer!$A$5:$A$300=$A39)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39" s="19">
        <f>IF($A39="","",IF(COUNTIFS(Måned!$A$5:$A$2000,$A39,Måned!$C$5:$C$2000,MONTH(G$5+3))=0,"",MAX(1,MIN(5,SUMIFS(Måned!$H$5:$H$2000,Måned!$A$5:$A$2000,$A39,Måned!$C$5:$C$2000,MONTH(G$5+3))+SUMPRODUCT((Vinduer!$A$5:$A$300=$A39)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39" s="19">
        <f>IF($A39="","",IF(COUNTIFS(Måned!$A$5:$A$2000,$A39,Måned!$C$5:$C$2000,MONTH(H$5+3))=0,"",MAX(1,MIN(5,SUMIFS(Måned!$H$5:$H$2000,Måned!$A$5:$A$2000,$A39,Måned!$C$5:$C$2000,MONTH(H$5+3))+SUMPRODUCT((Vinduer!$A$5:$A$300=$A39)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39" s="19">
        <f>IF($A39="","",IF(COUNTIFS(Måned!$A$5:$A$2000,$A39,Måned!$C$5:$C$2000,MONTH(I$5+3))=0,"",MAX(1,MIN(5,SUMIFS(Måned!$H$5:$H$2000,Måned!$A$5:$A$2000,$A39,Måned!$C$5:$C$2000,MONTH(I$5+3))+SUMPRODUCT((Vinduer!$A$5:$A$300=$A39)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39" s="19">
        <f>IF($A39="","",IF(COUNTIFS(Måned!$A$5:$A$2000,$A39,Måned!$C$5:$C$2000,MONTH(J$5+3))=0,"",MAX(1,MIN(5,SUMIFS(Måned!$H$5:$H$2000,Måned!$A$5:$A$2000,$A39,Måned!$C$5:$C$2000,MONTH(J$5+3))+SUMPRODUCT((Vinduer!$A$5:$A$300=$A39)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39" s="19">
        <f>IF($A39="","",IF(COUNTIFS(Måned!$A$5:$A$2000,$A39,Måned!$C$5:$C$2000,MONTH(K$5+3))=0,"",MAX(1,MIN(5,SUMIFS(Måned!$H$5:$H$2000,Måned!$A$5:$A$2000,$A39,Måned!$C$5:$C$2000,MONTH(K$5+3))+SUMPRODUCT((Vinduer!$A$5:$A$300=$A39)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39" s="19">
        <f>IF($A39="","",IF(COUNTIFS(Måned!$A$5:$A$2000,$A39,Måned!$C$5:$C$2000,MONTH(L$5+3))=0,"",MAX(1,MIN(5,SUMIFS(Måned!$H$5:$H$2000,Måned!$A$5:$A$2000,$A39,Måned!$C$5:$C$2000,MONTH(L$5+3))+SUMPRODUCT((Vinduer!$A$5:$A$300=$A39)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39" s="19">
        <f>IF($A39="","",IF(COUNTIFS(Måned!$A$5:$A$2000,$A39,Måned!$C$5:$C$2000,MONTH(M$5+3))=0,"",MAX(1,MIN(5,SUMIFS(Måned!$H$5:$H$2000,Måned!$A$5:$A$2000,$A39,Måned!$C$5:$C$2000,MONTH(M$5+3))+SUMPRODUCT((Vinduer!$A$5:$A$300=$A39)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39" s="19">
        <f>IF($A39="","",IF(COUNTIFS(Måned!$A$5:$A$2000,$A39,Måned!$C$5:$C$2000,MONTH(N$5+3))=0,"",MAX(1,MIN(5,SUMIFS(Måned!$H$5:$H$2000,Måned!$A$5:$A$2000,$A39,Måned!$C$5:$C$2000,MONTH(N$5+3))+SUMPRODUCT((Vinduer!$A$5:$A$300=$A39)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39" s="19">
        <f>IF($A39="","",IF(COUNTIFS(Måned!$A$5:$A$2000,$A39,Måned!$C$5:$C$2000,MONTH(O$5+3))=0,"",MAX(1,MIN(5,SUMIFS(Måned!$H$5:$H$2000,Måned!$A$5:$A$2000,$A39,Måned!$C$5:$C$2000,MONTH(O$5+3))+SUMPRODUCT((Vinduer!$A$5:$A$300=$A39)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39" s="19">
        <f>IF($A39="","",IF(COUNTIFS(Måned!$A$5:$A$2000,$A39,Måned!$C$5:$C$2000,MONTH(P$5+3))=0,"",MAX(1,MIN(5,SUMIFS(Måned!$H$5:$H$2000,Måned!$A$5:$A$2000,$A39,Måned!$C$5:$C$2000,MONTH(P$5+3))+SUMPRODUCT((Vinduer!$A$5:$A$300=$A39)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39" s="19">
        <f>IF($A39="","",IF(COUNTIFS(Måned!$A$5:$A$2000,$A39,Måned!$C$5:$C$2000,MONTH(Q$5+3))=0,"",MAX(1,MIN(5,SUMIFS(Måned!$H$5:$H$2000,Måned!$A$5:$A$2000,$A39,Måned!$C$5:$C$2000,MONTH(Q$5+3))+SUMPRODUCT((Vinduer!$A$5:$A$300=$A39)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39" s="19">
        <f>IF($A39="","",IF(COUNTIFS(Måned!$A$5:$A$2000,$A39,Måned!$C$5:$C$2000,MONTH(R$5+3))=0,"",MAX(1,MIN(5,SUMIFS(Måned!$H$5:$H$2000,Måned!$A$5:$A$2000,$A39,Måned!$C$5:$C$2000,MONTH(R$5+3))+SUMPRODUCT((Vinduer!$A$5:$A$300=$A39)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39" s="19">
        <f>IF($A39="","",IF(COUNTIFS(Måned!$A$5:$A$2000,$A39,Måned!$C$5:$C$2000,MONTH(S$5+3))=0,"",MAX(1,MIN(5,SUMIFS(Måned!$H$5:$H$2000,Måned!$A$5:$A$2000,$A39,Måned!$C$5:$C$2000,MONTH(S$5+3))+SUMPRODUCT((Vinduer!$A$5:$A$300=$A39)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39" s="19">
        <f>IF($A39="","",IF(COUNTIFS(Måned!$A$5:$A$2000,$A39,Måned!$C$5:$C$2000,MONTH(T$5+3))=0,"",MAX(1,MIN(5,SUMIFS(Måned!$H$5:$H$2000,Måned!$A$5:$A$2000,$A39,Måned!$C$5:$C$2000,MONTH(T$5+3))+SUMPRODUCT((Vinduer!$A$5:$A$300=$A39)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39" s="19">
        <f>IF($A39="","",IF(COUNTIFS(Måned!$A$5:$A$2000,$A39,Måned!$C$5:$C$2000,MONTH(U$5+3))=0,"",MAX(1,MIN(5,SUMIFS(Måned!$H$5:$H$2000,Måned!$A$5:$A$2000,$A39,Måned!$C$5:$C$2000,MONTH(U$5+3))+SUMPRODUCT((Vinduer!$A$5:$A$300=$A39)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39" s="19">
        <f>IF($A39="","",IF(COUNTIFS(Måned!$A$5:$A$2000,$A39,Måned!$C$5:$C$2000,MONTH(V$5+3))=0,"",MAX(1,MIN(5,SUMIFS(Måned!$H$5:$H$2000,Måned!$A$5:$A$2000,$A39,Måned!$C$5:$C$2000,MONTH(V$5+3))+SUMPRODUCT((Vinduer!$A$5:$A$300=$A39)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39" s="19">
        <f>IF($A39="","",IF(COUNTIFS(Måned!$A$5:$A$2000,$A39,Måned!$C$5:$C$2000,MONTH(W$5+3))=0,"",MAX(1,MIN(5,SUMIFS(Måned!$H$5:$H$2000,Måned!$A$5:$A$2000,$A39,Måned!$C$5:$C$2000,MONTH(W$5+3))+SUMPRODUCT((Vinduer!$A$5:$A$300=$A39)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39" s="19">
        <f>IF($A39="","",IF(COUNTIFS(Måned!$A$5:$A$2000,$A39,Måned!$C$5:$C$2000,MONTH(X$5+3))=0,"",MAX(1,MIN(5,SUMIFS(Måned!$H$5:$H$2000,Måned!$A$5:$A$2000,$A39,Måned!$C$5:$C$2000,MONTH(X$5+3))+SUMPRODUCT((Vinduer!$A$5:$A$300=$A39)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39" s="19">
        <f>IF($A39="","",IF(COUNTIFS(Måned!$A$5:$A$2000,$A39,Måned!$C$5:$C$2000,MONTH(Y$5+3))=0,"",MAX(1,MIN(5,SUMIFS(Måned!$H$5:$H$2000,Måned!$A$5:$A$2000,$A39,Måned!$C$5:$C$2000,MONTH(Y$5+3))+SUMPRODUCT((Vinduer!$A$5:$A$300=$A39)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39" s="19">
        <f>IF($A39="","",IF(COUNTIFS(Måned!$A$5:$A$2000,$A39,Måned!$C$5:$C$2000,MONTH(Z$5+3))=0,"",MAX(1,MIN(5,SUMIFS(Måned!$H$5:$H$2000,Måned!$A$5:$A$2000,$A39,Måned!$C$5:$C$2000,MONTH(Z$5+3))+SUMPRODUCT((Vinduer!$A$5:$A$300=$A39)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39" s="19">
        <f>IF($A39="","",IF(COUNTIFS(Måned!$A$5:$A$2000,$A39,Måned!$C$5:$C$2000,MONTH(AA$5+3))=0,"",MAX(1,MIN(5,SUMIFS(Måned!$H$5:$H$2000,Måned!$A$5:$A$2000,$A39,Måned!$C$5:$C$2000,MONTH(AA$5+3))+SUMPRODUCT((Vinduer!$A$5:$A$300=$A39)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39" s="19">
        <f>IF($A39="","",IF(COUNTIFS(Måned!$A$5:$A$2000,$A39,Måned!$C$5:$C$2000,MONTH(AB$5+3))=0,"",MAX(1,MIN(5,SUMIFS(Måned!$H$5:$H$2000,Måned!$A$5:$A$2000,$A39,Måned!$C$5:$C$2000,MONTH(AB$5+3))+SUMPRODUCT((Vinduer!$A$5:$A$300=$A39)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39" s="19">
        <f>IF($A39="","",IF(COUNTIFS(Måned!$A$5:$A$2000,$A39,Måned!$C$5:$C$2000,MONTH(AC$5+3))=0,"",MAX(1,MIN(5,SUMIFS(Måned!$H$5:$H$2000,Måned!$A$5:$A$2000,$A39,Måned!$C$5:$C$2000,MONTH(AC$5+3))+SUMPRODUCT((Vinduer!$A$5:$A$300=$A39)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39" s="19">
        <f>IF($A39="","",IF(COUNTIFS(Måned!$A$5:$A$2000,$A39,Måned!$C$5:$C$2000,MONTH(AD$5+3))=0,"",MAX(1,MIN(5,SUMIFS(Måned!$H$5:$H$2000,Måned!$A$5:$A$2000,$A39,Måned!$C$5:$C$2000,MONTH(AD$5+3))+SUMPRODUCT((Vinduer!$A$5:$A$300=$A39)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39" s="19">
        <f>IF($A39="","",IF(COUNTIFS(Måned!$A$5:$A$2000,$A39,Måned!$C$5:$C$2000,MONTH(AE$5+3))=0,"",MAX(1,MIN(5,SUMIFS(Måned!$H$5:$H$2000,Måned!$A$5:$A$2000,$A39,Måned!$C$5:$C$2000,MONTH(AE$5+3))+SUMPRODUCT((Vinduer!$A$5:$A$300=$A39)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39" s="19">
        <f>IF($A39="","",IF(COUNTIFS(Måned!$A$5:$A$2000,$A39,Måned!$C$5:$C$2000,MONTH(AF$5+3))=0,"",MAX(1,MIN(5,SUMIFS(Måned!$H$5:$H$2000,Måned!$A$5:$A$2000,$A39,Måned!$C$5:$C$2000,MONTH(AF$5+3))+SUMPRODUCT((Vinduer!$A$5:$A$300=$A39)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39" s="19">
        <f>IF($A39="","",IF(COUNTIFS(Måned!$A$5:$A$2000,$A39,Måned!$C$5:$C$2000,MONTH(AG$5+3))=0,"",MAX(1,MIN(5,SUMIFS(Måned!$H$5:$H$2000,Måned!$A$5:$A$2000,$A39,Måned!$C$5:$C$2000,MONTH(AG$5+3))+SUMPRODUCT((Vinduer!$A$5:$A$300=$A39)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39" s="19">
        <f>IF($A39="","",IF(COUNTIFS(Måned!$A$5:$A$2000,$A39,Måned!$C$5:$C$2000,MONTH(AH$5+3))=0,"",MAX(1,MIN(5,SUMIFS(Måned!$H$5:$H$2000,Måned!$A$5:$A$2000,$A39,Måned!$C$5:$C$2000,MONTH(AH$5+3))+SUMPRODUCT((Vinduer!$A$5:$A$300=$A39)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39" s="19">
        <f>IF($A39="","",IF(COUNTIFS(Måned!$A$5:$A$2000,$A39,Måned!$C$5:$C$2000,MONTH(AI$5+3))=0,"",MAX(1,MIN(5,SUMIFS(Måned!$H$5:$H$2000,Måned!$A$5:$A$2000,$A39,Måned!$C$5:$C$2000,MONTH(AI$5+3))+SUMPRODUCT((Vinduer!$A$5:$A$300=$A39)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39" s="19">
        <f>IF($A39="","",IF(COUNTIFS(Måned!$A$5:$A$2000,$A39,Måned!$C$5:$C$2000,MONTH(AJ$5+3))=0,"",MAX(1,MIN(5,SUMIFS(Måned!$H$5:$H$2000,Måned!$A$5:$A$2000,$A39,Måned!$C$5:$C$2000,MONTH(AJ$5+3))+SUMPRODUCT((Vinduer!$A$5:$A$300=$A39)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39" s="19">
        <f>IF($A39="","",IF(COUNTIFS(Måned!$A$5:$A$2000,$A39,Måned!$C$5:$C$2000,MONTH(AK$5+3))=0,"",MAX(1,MIN(5,SUMIFS(Måned!$H$5:$H$2000,Måned!$A$5:$A$2000,$A39,Måned!$C$5:$C$2000,MONTH(AK$5+3))+SUMPRODUCT((Vinduer!$A$5:$A$300=$A39)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39" s="19">
        <f>IF($A39="","",IF(COUNTIFS(Måned!$A$5:$A$2000,$A39,Måned!$C$5:$C$2000,MONTH(AL$5+3))=0,"",MAX(1,MIN(5,SUMIFS(Måned!$H$5:$H$2000,Måned!$A$5:$A$2000,$A39,Måned!$C$5:$C$2000,MONTH(AL$5+3))+SUMPRODUCT((Vinduer!$A$5:$A$300=$A39)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39" s="19">
        <f>IF($A39="","",IF(COUNTIFS(Måned!$A$5:$A$2000,$A39,Måned!$C$5:$C$2000,MONTH(AM$5+3))=0,"",MAX(1,MIN(5,SUMIFS(Måned!$H$5:$H$2000,Måned!$A$5:$A$2000,$A39,Måned!$C$5:$C$2000,MONTH(AM$5+3))+SUMPRODUCT((Vinduer!$A$5:$A$300=$A39)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39" s="19">
        <f>IF($A39="","",IF(COUNTIFS(Måned!$A$5:$A$2000,$A39,Måned!$C$5:$C$2000,MONTH(AN$5+3))=0,"",MAX(1,MIN(5,SUMIFS(Måned!$H$5:$H$2000,Måned!$A$5:$A$2000,$A39,Måned!$C$5:$C$2000,MONTH(AN$5+3))+SUMPRODUCT((Vinduer!$A$5:$A$300=$A39)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39" s="19">
        <f>IF($A39="","",IF(COUNTIFS(Måned!$A$5:$A$2000,$A39,Måned!$C$5:$C$2000,MONTH(AO$5+3))=0,"",MAX(1,MIN(5,SUMIFS(Måned!$H$5:$H$2000,Måned!$A$5:$A$2000,$A39,Måned!$C$5:$C$2000,MONTH(AO$5+3))+SUMPRODUCT((Vinduer!$A$5:$A$300=$A39)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39" s="19">
        <f>IF($A39="","",IF(COUNTIFS(Måned!$A$5:$A$2000,$A39,Måned!$C$5:$C$2000,MONTH(AP$5+3))=0,"",MAX(1,MIN(5,SUMIFS(Måned!$H$5:$H$2000,Måned!$A$5:$A$2000,$A39,Måned!$C$5:$C$2000,MONTH(AP$5+3))+SUMPRODUCT((Vinduer!$A$5:$A$300=$A39)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39" s="19">
        <f>IF($A39="","",IF(COUNTIFS(Måned!$A$5:$A$2000,$A39,Måned!$C$5:$C$2000,MONTH(AQ$5+3))=0,"",MAX(1,MIN(5,SUMIFS(Måned!$H$5:$H$2000,Måned!$A$5:$A$2000,$A39,Måned!$C$5:$C$2000,MONTH(AQ$5+3))+SUMPRODUCT((Vinduer!$A$5:$A$300=$A39)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39" s="19">
        <f>IF($A39="","",IF(COUNTIFS(Måned!$A$5:$A$2000,$A39,Måned!$C$5:$C$2000,MONTH(AR$5+3))=0,"",MAX(1,MIN(5,SUMIFS(Måned!$H$5:$H$2000,Måned!$A$5:$A$2000,$A39,Måned!$C$5:$C$2000,MONTH(AR$5+3))+SUMPRODUCT((Vinduer!$A$5:$A$300=$A39)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39" s="19">
        <f>IF($A39="","",IF(COUNTIFS(Måned!$A$5:$A$2000,$A39,Måned!$C$5:$C$2000,MONTH(AS$5+3))=0,"",MAX(1,MIN(5,SUMIFS(Måned!$H$5:$H$2000,Måned!$A$5:$A$2000,$A39,Måned!$C$5:$C$2000,MONTH(AS$5+3))+SUMPRODUCT((Vinduer!$A$5:$A$300=$A39)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39" s="19">
        <f>IF($A39="","",IF(COUNTIFS(Måned!$A$5:$A$2000,$A39,Måned!$C$5:$C$2000,MONTH(AT$5+3))=0,"",MAX(1,MIN(5,SUMIFS(Måned!$H$5:$H$2000,Måned!$A$5:$A$2000,$A39,Måned!$C$5:$C$2000,MONTH(AT$5+3))+SUMPRODUCT((Vinduer!$A$5:$A$300=$A39)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39" s="19">
        <f>IF($A39="","",IF(COUNTIFS(Måned!$A$5:$A$2000,$A39,Måned!$C$5:$C$2000,MONTH(AU$5+3))=0,"",MAX(1,MIN(5,SUMIFS(Måned!$H$5:$H$2000,Måned!$A$5:$A$2000,$A39,Måned!$C$5:$C$2000,MONTH(AU$5+3))+SUMPRODUCT((Vinduer!$A$5:$A$300=$A39)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39" s="19">
        <f>IF($A39="","",IF(COUNTIFS(Måned!$A$5:$A$2000,$A39,Måned!$C$5:$C$2000,MONTH(AV$5+3))=0,"",MAX(1,MIN(5,SUMIFS(Måned!$H$5:$H$2000,Måned!$A$5:$A$2000,$A39,Måned!$C$5:$C$2000,MONTH(AV$5+3))+SUMPRODUCT((Vinduer!$A$5:$A$300=$A39)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39" s="19">
        <f>IF($A39="","",IF(COUNTIFS(Måned!$A$5:$A$2000,$A39,Måned!$C$5:$C$2000,MONTH(AW$5+3))=0,"",MAX(1,MIN(5,SUMIFS(Måned!$H$5:$H$2000,Måned!$A$5:$A$2000,$A39,Måned!$C$5:$C$2000,MONTH(AW$5+3))+SUMPRODUCT((Vinduer!$A$5:$A$300=$A39)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39" s="19">
        <f>IF($A39="","",IF(COUNTIFS(Måned!$A$5:$A$2000,$A39,Måned!$C$5:$C$2000,MONTH(AX$5+3))=0,"",MAX(1,MIN(5,SUMIFS(Måned!$H$5:$H$2000,Måned!$A$5:$A$2000,$A39,Måned!$C$5:$C$2000,MONTH(AX$5+3))+SUMPRODUCT((Vinduer!$A$5:$A$300=$A39)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39" s="19">
        <f>IF($A39="","",IF(COUNTIFS(Måned!$A$5:$A$2000,$A39,Måned!$C$5:$C$2000,MONTH(AY$5+3))=0,"",MAX(1,MIN(5,SUMIFS(Måned!$H$5:$H$2000,Måned!$A$5:$A$2000,$A39,Måned!$C$5:$C$2000,MONTH(AY$5+3))+SUMPRODUCT((Vinduer!$A$5:$A$300=$A39)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39" s="19">
        <f>IF($A39="","",IF(COUNTIFS(Måned!$A$5:$A$2000,$A39,Måned!$C$5:$C$2000,MONTH(AZ$5+3))=0,"",MAX(1,MIN(5,SUMIFS(Måned!$H$5:$H$2000,Måned!$A$5:$A$2000,$A39,Måned!$C$5:$C$2000,MONTH(AZ$5+3))+SUMPRODUCT((Vinduer!$A$5:$A$300=$A39)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39" s="19">
        <f>IF($A39="","",IF(COUNTIFS(Måned!$A$5:$A$2000,$A39,Måned!$C$5:$C$2000,MONTH(BA$5+3))=0,"",MAX(1,MIN(5,SUMIFS(Måned!$H$5:$H$2000,Måned!$A$5:$A$2000,$A39,Måned!$C$5:$C$2000,MONTH(BA$5+3))+SUMPRODUCT((Vinduer!$A$5:$A$300=$A39)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39" s="19">
        <f>IF($A39="","",IF(COUNTIFS(Måned!$A$5:$A$2000,$A39,Måned!$C$5:$C$2000,MONTH(BB$5+3))=0,"",MAX(1,MIN(5,SUMIFS(Måned!$H$5:$H$2000,Måned!$A$5:$A$2000,$A39,Måned!$C$5:$C$2000,MONTH(BB$5+3))+SUMPRODUCT((Vinduer!$A$5:$A$300=$A39)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39" s="19">
        <f>IF($A39="","",IF(COUNTIFS(Måned!$A$5:$A$2000,$A39,Måned!$C$5:$C$2000,MONTH(BC$5+3))=0,"",MAX(1,MIN(5,SUMIFS(Måned!$H$5:$H$2000,Måned!$A$5:$A$2000,$A39,Måned!$C$5:$C$2000,MONTH(BC$5+3))+SUMPRODUCT((Vinduer!$A$5:$A$300=$A39)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39" s="19">
        <f>IF($A39="","",IF(COUNTIFS(Måned!$A$5:$A$2000,$A39,Måned!$C$5:$C$2000,MONTH(BD$5+3))=0,"",MAX(1,MIN(5,SUMIFS(Måned!$H$5:$H$2000,Måned!$A$5:$A$2000,$A39,Måned!$C$5:$C$2000,MONTH(BD$5+3))+SUMPRODUCT((Vinduer!$A$5:$A$300=$A39)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39" s="19">
        <f>IF($A39="","",IF(COUNTIFS(Måned!$A$5:$A$2000,$A39,Måned!$C$5:$C$2000,MONTH(BE$5+3))=0,"",MAX(1,MIN(5,SUMIFS(Måned!$H$5:$H$2000,Måned!$A$5:$A$2000,$A39,Måned!$C$5:$C$2000,MONTH(BE$5+3))+SUMPRODUCT((Vinduer!$A$5:$A$300=$A39)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0">
      <c r="A40" s="5">
        <f>IF(Destinasjoner!A36="","",Destinasjoner!A36)</f>
        <v/>
      </c>
      <c r="B40" s="5">
        <f>IF(A40="","",Destinasjoner!E36)</f>
        <v/>
      </c>
      <c r="C40" s="5">
        <f>IF(A40="","",Destinasjoner!B36)</f>
        <v/>
      </c>
      <c r="D40" s="17">
        <f>IFERROR(SUMIFS(F40:BE40,$F$7:$BE$7,"x")/COUNTIFS($F$7:$BE$7,"x",F40:BE40,"&gt;0"),"")</f>
        <v/>
      </c>
      <c r="E40" s="18">
        <f>IF(D40="","",_xlfn.MINIFS(F40:BE40,$F$7:$BE$7,"x",F40:BE40,"&gt;0"))</f>
        <v/>
      </c>
      <c r="F40" s="19">
        <f>IF($A40="","",IF(COUNTIFS(Måned!$A$5:$A$2000,$A40,Måned!$C$5:$C$2000,MONTH(F$5+3))=0,"",MAX(1,MIN(5,SUMIFS(Måned!$H$5:$H$2000,Måned!$A$5:$A$2000,$A40,Måned!$C$5:$C$2000,MONTH(F$5+3))+SUMPRODUCT((Vinduer!$A$5:$A$300=$A40)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0" s="19">
        <f>IF($A40="","",IF(COUNTIFS(Måned!$A$5:$A$2000,$A40,Måned!$C$5:$C$2000,MONTH(G$5+3))=0,"",MAX(1,MIN(5,SUMIFS(Måned!$H$5:$H$2000,Måned!$A$5:$A$2000,$A40,Måned!$C$5:$C$2000,MONTH(G$5+3))+SUMPRODUCT((Vinduer!$A$5:$A$300=$A40)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0" s="19">
        <f>IF($A40="","",IF(COUNTIFS(Måned!$A$5:$A$2000,$A40,Måned!$C$5:$C$2000,MONTH(H$5+3))=0,"",MAX(1,MIN(5,SUMIFS(Måned!$H$5:$H$2000,Måned!$A$5:$A$2000,$A40,Måned!$C$5:$C$2000,MONTH(H$5+3))+SUMPRODUCT((Vinduer!$A$5:$A$300=$A40)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0" s="19">
        <f>IF($A40="","",IF(COUNTIFS(Måned!$A$5:$A$2000,$A40,Måned!$C$5:$C$2000,MONTH(I$5+3))=0,"",MAX(1,MIN(5,SUMIFS(Måned!$H$5:$H$2000,Måned!$A$5:$A$2000,$A40,Måned!$C$5:$C$2000,MONTH(I$5+3))+SUMPRODUCT((Vinduer!$A$5:$A$300=$A40)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0" s="19">
        <f>IF($A40="","",IF(COUNTIFS(Måned!$A$5:$A$2000,$A40,Måned!$C$5:$C$2000,MONTH(J$5+3))=0,"",MAX(1,MIN(5,SUMIFS(Måned!$H$5:$H$2000,Måned!$A$5:$A$2000,$A40,Måned!$C$5:$C$2000,MONTH(J$5+3))+SUMPRODUCT((Vinduer!$A$5:$A$300=$A40)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0" s="19">
        <f>IF($A40="","",IF(COUNTIFS(Måned!$A$5:$A$2000,$A40,Måned!$C$5:$C$2000,MONTH(K$5+3))=0,"",MAX(1,MIN(5,SUMIFS(Måned!$H$5:$H$2000,Måned!$A$5:$A$2000,$A40,Måned!$C$5:$C$2000,MONTH(K$5+3))+SUMPRODUCT((Vinduer!$A$5:$A$300=$A40)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0" s="19">
        <f>IF($A40="","",IF(COUNTIFS(Måned!$A$5:$A$2000,$A40,Måned!$C$5:$C$2000,MONTH(L$5+3))=0,"",MAX(1,MIN(5,SUMIFS(Måned!$H$5:$H$2000,Måned!$A$5:$A$2000,$A40,Måned!$C$5:$C$2000,MONTH(L$5+3))+SUMPRODUCT((Vinduer!$A$5:$A$300=$A40)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0" s="19">
        <f>IF($A40="","",IF(COUNTIFS(Måned!$A$5:$A$2000,$A40,Måned!$C$5:$C$2000,MONTH(M$5+3))=0,"",MAX(1,MIN(5,SUMIFS(Måned!$H$5:$H$2000,Måned!$A$5:$A$2000,$A40,Måned!$C$5:$C$2000,MONTH(M$5+3))+SUMPRODUCT((Vinduer!$A$5:$A$300=$A40)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0" s="19">
        <f>IF($A40="","",IF(COUNTIFS(Måned!$A$5:$A$2000,$A40,Måned!$C$5:$C$2000,MONTH(N$5+3))=0,"",MAX(1,MIN(5,SUMIFS(Måned!$H$5:$H$2000,Måned!$A$5:$A$2000,$A40,Måned!$C$5:$C$2000,MONTH(N$5+3))+SUMPRODUCT((Vinduer!$A$5:$A$300=$A40)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0" s="19">
        <f>IF($A40="","",IF(COUNTIFS(Måned!$A$5:$A$2000,$A40,Måned!$C$5:$C$2000,MONTH(O$5+3))=0,"",MAX(1,MIN(5,SUMIFS(Måned!$H$5:$H$2000,Måned!$A$5:$A$2000,$A40,Måned!$C$5:$C$2000,MONTH(O$5+3))+SUMPRODUCT((Vinduer!$A$5:$A$300=$A40)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0" s="19">
        <f>IF($A40="","",IF(COUNTIFS(Måned!$A$5:$A$2000,$A40,Måned!$C$5:$C$2000,MONTH(P$5+3))=0,"",MAX(1,MIN(5,SUMIFS(Måned!$H$5:$H$2000,Måned!$A$5:$A$2000,$A40,Måned!$C$5:$C$2000,MONTH(P$5+3))+SUMPRODUCT((Vinduer!$A$5:$A$300=$A40)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0" s="19">
        <f>IF($A40="","",IF(COUNTIFS(Måned!$A$5:$A$2000,$A40,Måned!$C$5:$C$2000,MONTH(Q$5+3))=0,"",MAX(1,MIN(5,SUMIFS(Måned!$H$5:$H$2000,Måned!$A$5:$A$2000,$A40,Måned!$C$5:$C$2000,MONTH(Q$5+3))+SUMPRODUCT((Vinduer!$A$5:$A$300=$A40)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0" s="19">
        <f>IF($A40="","",IF(COUNTIFS(Måned!$A$5:$A$2000,$A40,Måned!$C$5:$C$2000,MONTH(R$5+3))=0,"",MAX(1,MIN(5,SUMIFS(Måned!$H$5:$H$2000,Måned!$A$5:$A$2000,$A40,Måned!$C$5:$C$2000,MONTH(R$5+3))+SUMPRODUCT((Vinduer!$A$5:$A$300=$A40)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0" s="19">
        <f>IF($A40="","",IF(COUNTIFS(Måned!$A$5:$A$2000,$A40,Måned!$C$5:$C$2000,MONTH(S$5+3))=0,"",MAX(1,MIN(5,SUMIFS(Måned!$H$5:$H$2000,Måned!$A$5:$A$2000,$A40,Måned!$C$5:$C$2000,MONTH(S$5+3))+SUMPRODUCT((Vinduer!$A$5:$A$300=$A40)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0" s="19">
        <f>IF($A40="","",IF(COUNTIFS(Måned!$A$5:$A$2000,$A40,Måned!$C$5:$C$2000,MONTH(T$5+3))=0,"",MAX(1,MIN(5,SUMIFS(Måned!$H$5:$H$2000,Måned!$A$5:$A$2000,$A40,Måned!$C$5:$C$2000,MONTH(T$5+3))+SUMPRODUCT((Vinduer!$A$5:$A$300=$A40)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0" s="19">
        <f>IF($A40="","",IF(COUNTIFS(Måned!$A$5:$A$2000,$A40,Måned!$C$5:$C$2000,MONTH(U$5+3))=0,"",MAX(1,MIN(5,SUMIFS(Måned!$H$5:$H$2000,Måned!$A$5:$A$2000,$A40,Måned!$C$5:$C$2000,MONTH(U$5+3))+SUMPRODUCT((Vinduer!$A$5:$A$300=$A40)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0" s="19">
        <f>IF($A40="","",IF(COUNTIFS(Måned!$A$5:$A$2000,$A40,Måned!$C$5:$C$2000,MONTH(V$5+3))=0,"",MAX(1,MIN(5,SUMIFS(Måned!$H$5:$H$2000,Måned!$A$5:$A$2000,$A40,Måned!$C$5:$C$2000,MONTH(V$5+3))+SUMPRODUCT((Vinduer!$A$5:$A$300=$A40)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0" s="19">
        <f>IF($A40="","",IF(COUNTIFS(Måned!$A$5:$A$2000,$A40,Måned!$C$5:$C$2000,MONTH(W$5+3))=0,"",MAX(1,MIN(5,SUMIFS(Måned!$H$5:$H$2000,Måned!$A$5:$A$2000,$A40,Måned!$C$5:$C$2000,MONTH(W$5+3))+SUMPRODUCT((Vinduer!$A$5:$A$300=$A40)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0" s="19">
        <f>IF($A40="","",IF(COUNTIFS(Måned!$A$5:$A$2000,$A40,Måned!$C$5:$C$2000,MONTH(X$5+3))=0,"",MAX(1,MIN(5,SUMIFS(Måned!$H$5:$H$2000,Måned!$A$5:$A$2000,$A40,Måned!$C$5:$C$2000,MONTH(X$5+3))+SUMPRODUCT((Vinduer!$A$5:$A$300=$A40)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0" s="19">
        <f>IF($A40="","",IF(COUNTIFS(Måned!$A$5:$A$2000,$A40,Måned!$C$5:$C$2000,MONTH(Y$5+3))=0,"",MAX(1,MIN(5,SUMIFS(Måned!$H$5:$H$2000,Måned!$A$5:$A$2000,$A40,Måned!$C$5:$C$2000,MONTH(Y$5+3))+SUMPRODUCT((Vinduer!$A$5:$A$300=$A40)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0" s="19">
        <f>IF($A40="","",IF(COUNTIFS(Måned!$A$5:$A$2000,$A40,Måned!$C$5:$C$2000,MONTH(Z$5+3))=0,"",MAX(1,MIN(5,SUMIFS(Måned!$H$5:$H$2000,Måned!$A$5:$A$2000,$A40,Måned!$C$5:$C$2000,MONTH(Z$5+3))+SUMPRODUCT((Vinduer!$A$5:$A$300=$A40)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0" s="19">
        <f>IF($A40="","",IF(COUNTIFS(Måned!$A$5:$A$2000,$A40,Måned!$C$5:$C$2000,MONTH(AA$5+3))=0,"",MAX(1,MIN(5,SUMIFS(Måned!$H$5:$H$2000,Måned!$A$5:$A$2000,$A40,Måned!$C$5:$C$2000,MONTH(AA$5+3))+SUMPRODUCT((Vinduer!$A$5:$A$300=$A40)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0" s="19">
        <f>IF($A40="","",IF(COUNTIFS(Måned!$A$5:$A$2000,$A40,Måned!$C$5:$C$2000,MONTH(AB$5+3))=0,"",MAX(1,MIN(5,SUMIFS(Måned!$H$5:$H$2000,Måned!$A$5:$A$2000,$A40,Måned!$C$5:$C$2000,MONTH(AB$5+3))+SUMPRODUCT((Vinduer!$A$5:$A$300=$A40)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0" s="19">
        <f>IF($A40="","",IF(COUNTIFS(Måned!$A$5:$A$2000,$A40,Måned!$C$5:$C$2000,MONTH(AC$5+3))=0,"",MAX(1,MIN(5,SUMIFS(Måned!$H$5:$H$2000,Måned!$A$5:$A$2000,$A40,Måned!$C$5:$C$2000,MONTH(AC$5+3))+SUMPRODUCT((Vinduer!$A$5:$A$300=$A40)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0" s="19">
        <f>IF($A40="","",IF(COUNTIFS(Måned!$A$5:$A$2000,$A40,Måned!$C$5:$C$2000,MONTH(AD$5+3))=0,"",MAX(1,MIN(5,SUMIFS(Måned!$H$5:$H$2000,Måned!$A$5:$A$2000,$A40,Måned!$C$5:$C$2000,MONTH(AD$5+3))+SUMPRODUCT((Vinduer!$A$5:$A$300=$A40)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0" s="19">
        <f>IF($A40="","",IF(COUNTIFS(Måned!$A$5:$A$2000,$A40,Måned!$C$5:$C$2000,MONTH(AE$5+3))=0,"",MAX(1,MIN(5,SUMIFS(Måned!$H$5:$H$2000,Måned!$A$5:$A$2000,$A40,Måned!$C$5:$C$2000,MONTH(AE$5+3))+SUMPRODUCT((Vinduer!$A$5:$A$300=$A40)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0" s="19">
        <f>IF($A40="","",IF(COUNTIFS(Måned!$A$5:$A$2000,$A40,Måned!$C$5:$C$2000,MONTH(AF$5+3))=0,"",MAX(1,MIN(5,SUMIFS(Måned!$H$5:$H$2000,Måned!$A$5:$A$2000,$A40,Måned!$C$5:$C$2000,MONTH(AF$5+3))+SUMPRODUCT((Vinduer!$A$5:$A$300=$A40)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0" s="19">
        <f>IF($A40="","",IF(COUNTIFS(Måned!$A$5:$A$2000,$A40,Måned!$C$5:$C$2000,MONTH(AG$5+3))=0,"",MAX(1,MIN(5,SUMIFS(Måned!$H$5:$H$2000,Måned!$A$5:$A$2000,$A40,Måned!$C$5:$C$2000,MONTH(AG$5+3))+SUMPRODUCT((Vinduer!$A$5:$A$300=$A40)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0" s="19">
        <f>IF($A40="","",IF(COUNTIFS(Måned!$A$5:$A$2000,$A40,Måned!$C$5:$C$2000,MONTH(AH$5+3))=0,"",MAX(1,MIN(5,SUMIFS(Måned!$H$5:$H$2000,Måned!$A$5:$A$2000,$A40,Måned!$C$5:$C$2000,MONTH(AH$5+3))+SUMPRODUCT((Vinduer!$A$5:$A$300=$A40)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0" s="19">
        <f>IF($A40="","",IF(COUNTIFS(Måned!$A$5:$A$2000,$A40,Måned!$C$5:$C$2000,MONTH(AI$5+3))=0,"",MAX(1,MIN(5,SUMIFS(Måned!$H$5:$H$2000,Måned!$A$5:$A$2000,$A40,Måned!$C$5:$C$2000,MONTH(AI$5+3))+SUMPRODUCT((Vinduer!$A$5:$A$300=$A40)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0" s="19">
        <f>IF($A40="","",IF(COUNTIFS(Måned!$A$5:$A$2000,$A40,Måned!$C$5:$C$2000,MONTH(AJ$5+3))=0,"",MAX(1,MIN(5,SUMIFS(Måned!$H$5:$H$2000,Måned!$A$5:$A$2000,$A40,Måned!$C$5:$C$2000,MONTH(AJ$5+3))+SUMPRODUCT((Vinduer!$A$5:$A$300=$A40)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0" s="19">
        <f>IF($A40="","",IF(COUNTIFS(Måned!$A$5:$A$2000,$A40,Måned!$C$5:$C$2000,MONTH(AK$5+3))=0,"",MAX(1,MIN(5,SUMIFS(Måned!$H$5:$H$2000,Måned!$A$5:$A$2000,$A40,Måned!$C$5:$C$2000,MONTH(AK$5+3))+SUMPRODUCT((Vinduer!$A$5:$A$300=$A40)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0" s="19">
        <f>IF($A40="","",IF(COUNTIFS(Måned!$A$5:$A$2000,$A40,Måned!$C$5:$C$2000,MONTH(AL$5+3))=0,"",MAX(1,MIN(5,SUMIFS(Måned!$H$5:$H$2000,Måned!$A$5:$A$2000,$A40,Måned!$C$5:$C$2000,MONTH(AL$5+3))+SUMPRODUCT((Vinduer!$A$5:$A$300=$A40)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0" s="19">
        <f>IF($A40="","",IF(COUNTIFS(Måned!$A$5:$A$2000,$A40,Måned!$C$5:$C$2000,MONTH(AM$5+3))=0,"",MAX(1,MIN(5,SUMIFS(Måned!$H$5:$H$2000,Måned!$A$5:$A$2000,$A40,Måned!$C$5:$C$2000,MONTH(AM$5+3))+SUMPRODUCT((Vinduer!$A$5:$A$300=$A40)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0" s="19">
        <f>IF($A40="","",IF(COUNTIFS(Måned!$A$5:$A$2000,$A40,Måned!$C$5:$C$2000,MONTH(AN$5+3))=0,"",MAX(1,MIN(5,SUMIFS(Måned!$H$5:$H$2000,Måned!$A$5:$A$2000,$A40,Måned!$C$5:$C$2000,MONTH(AN$5+3))+SUMPRODUCT((Vinduer!$A$5:$A$300=$A40)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0" s="19">
        <f>IF($A40="","",IF(COUNTIFS(Måned!$A$5:$A$2000,$A40,Måned!$C$5:$C$2000,MONTH(AO$5+3))=0,"",MAX(1,MIN(5,SUMIFS(Måned!$H$5:$H$2000,Måned!$A$5:$A$2000,$A40,Måned!$C$5:$C$2000,MONTH(AO$5+3))+SUMPRODUCT((Vinduer!$A$5:$A$300=$A40)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0" s="19">
        <f>IF($A40="","",IF(COUNTIFS(Måned!$A$5:$A$2000,$A40,Måned!$C$5:$C$2000,MONTH(AP$5+3))=0,"",MAX(1,MIN(5,SUMIFS(Måned!$H$5:$H$2000,Måned!$A$5:$A$2000,$A40,Måned!$C$5:$C$2000,MONTH(AP$5+3))+SUMPRODUCT((Vinduer!$A$5:$A$300=$A40)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0" s="19">
        <f>IF($A40="","",IF(COUNTIFS(Måned!$A$5:$A$2000,$A40,Måned!$C$5:$C$2000,MONTH(AQ$5+3))=0,"",MAX(1,MIN(5,SUMIFS(Måned!$H$5:$H$2000,Måned!$A$5:$A$2000,$A40,Måned!$C$5:$C$2000,MONTH(AQ$5+3))+SUMPRODUCT((Vinduer!$A$5:$A$300=$A40)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0" s="19">
        <f>IF($A40="","",IF(COUNTIFS(Måned!$A$5:$A$2000,$A40,Måned!$C$5:$C$2000,MONTH(AR$5+3))=0,"",MAX(1,MIN(5,SUMIFS(Måned!$H$5:$H$2000,Måned!$A$5:$A$2000,$A40,Måned!$C$5:$C$2000,MONTH(AR$5+3))+SUMPRODUCT((Vinduer!$A$5:$A$300=$A40)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0" s="19">
        <f>IF($A40="","",IF(COUNTIFS(Måned!$A$5:$A$2000,$A40,Måned!$C$5:$C$2000,MONTH(AS$5+3))=0,"",MAX(1,MIN(5,SUMIFS(Måned!$H$5:$H$2000,Måned!$A$5:$A$2000,$A40,Måned!$C$5:$C$2000,MONTH(AS$5+3))+SUMPRODUCT((Vinduer!$A$5:$A$300=$A40)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0" s="19">
        <f>IF($A40="","",IF(COUNTIFS(Måned!$A$5:$A$2000,$A40,Måned!$C$5:$C$2000,MONTH(AT$5+3))=0,"",MAX(1,MIN(5,SUMIFS(Måned!$H$5:$H$2000,Måned!$A$5:$A$2000,$A40,Måned!$C$5:$C$2000,MONTH(AT$5+3))+SUMPRODUCT((Vinduer!$A$5:$A$300=$A40)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0" s="19">
        <f>IF($A40="","",IF(COUNTIFS(Måned!$A$5:$A$2000,$A40,Måned!$C$5:$C$2000,MONTH(AU$5+3))=0,"",MAX(1,MIN(5,SUMIFS(Måned!$H$5:$H$2000,Måned!$A$5:$A$2000,$A40,Måned!$C$5:$C$2000,MONTH(AU$5+3))+SUMPRODUCT((Vinduer!$A$5:$A$300=$A40)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0" s="19">
        <f>IF($A40="","",IF(COUNTIFS(Måned!$A$5:$A$2000,$A40,Måned!$C$5:$C$2000,MONTH(AV$5+3))=0,"",MAX(1,MIN(5,SUMIFS(Måned!$H$5:$H$2000,Måned!$A$5:$A$2000,$A40,Måned!$C$5:$C$2000,MONTH(AV$5+3))+SUMPRODUCT((Vinduer!$A$5:$A$300=$A40)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0" s="19">
        <f>IF($A40="","",IF(COUNTIFS(Måned!$A$5:$A$2000,$A40,Måned!$C$5:$C$2000,MONTH(AW$5+3))=0,"",MAX(1,MIN(5,SUMIFS(Måned!$H$5:$H$2000,Måned!$A$5:$A$2000,$A40,Måned!$C$5:$C$2000,MONTH(AW$5+3))+SUMPRODUCT((Vinduer!$A$5:$A$300=$A40)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0" s="19">
        <f>IF($A40="","",IF(COUNTIFS(Måned!$A$5:$A$2000,$A40,Måned!$C$5:$C$2000,MONTH(AX$5+3))=0,"",MAX(1,MIN(5,SUMIFS(Måned!$H$5:$H$2000,Måned!$A$5:$A$2000,$A40,Måned!$C$5:$C$2000,MONTH(AX$5+3))+SUMPRODUCT((Vinduer!$A$5:$A$300=$A40)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0" s="19">
        <f>IF($A40="","",IF(COUNTIFS(Måned!$A$5:$A$2000,$A40,Måned!$C$5:$C$2000,MONTH(AY$5+3))=0,"",MAX(1,MIN(5,SUMIFS(Måned!$H$5:$H$2000,Måned!$A$5:$A$2000,$A40,Måned!$C$5:$C$2000,MONTH(AY$5+3))+SUMPRODUCT((Vinduer!$A$5:$A$300=$A40)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0" s="19">
        <f>IF($A40="","",IF(COUNTIFS(Måned!$A$5:$A$2000,$A40,Måned!$C$5:$C$2000,MONTH(AZ$5+3))=0,"",MAX(1,MIN(5,SUMIFS(Måned!$H$5:$H$2000,Måned!$A$5:$A$2000,$A40,Måned!$C$5:$C$2000,MONTH(AZ$5+3))+SUMPRODUCT((Vinduer!$A$5:$A$300=$A40)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0" s="19">
        <f>IF($A40="","",IF(COUNTIFS(Måned!$A$5:$A$2000,$A40,Måned!$C$5:$C$2000,MONTH(BA$5+3))=0,"",MAX(1,MIN(5,SUMIFS(Måned!$H$5:$H$2000,Måned!$A$5:$A$2000,$A40,Måned!$C$5:$C$2000,MONTH(BA$5+3))+SUMPRODUCT((Vinduer!$A$5:$A$300=$A40)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0" s="19">
        <f>IF($A40="","",IF(COUNTIFS(Måned!$A$5:$A$2000,$A40,Måned!$C$5:$C$2000,MONTH(BB$5+3))=0,"",MAX(1,MIN(5,SUMIFS(Måned!$H$5:$H$2000,Måned!$A$5:$A$2000,$A40,Måned!$C$5:$C$2000,MONTH(BB$5+3))+SUMPRODUCT((Vinduer!$A$5:$A$300=$A40)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0" s="19">
        <f>IF($A40="","",IF(COUNTIFS(Måned!$A$5:$A$2000,$A40,Måned!$C$5:$C$2000,MONTH(BC$5+3))=0,"",MAX(1,MIN(5,SUMIFS(Måned!$H$5:$H$2000,Måned!$A$5:$A$2000,$A40,Måned!$C$5:$C$2000,MONTH(BC$5+3))+SUMPRODUCT((Vinduer!$A$5:$A$300=$A40)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0" s="19">
        <f>IF($A40="","",IF(COUNTIFS(Måned!$A$5:$A$2000,$A40,Måned!$C$5:$C$2000,MONTH(BD$5+3))=0,"",MAX(1,MIN(5,SUMIFS(Måned!$H$5:$H$2000,Måned!$A$5:$A$2000,$A40,Måned!$C$5:$C$2000,MONTH(BD$5+3))+SUMPRODUCT((Vinduer!$A$5:$A$300=$A40)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0" s="19">
        <f>IF($A40="","",IF(COUNTIFS(Måned!$A$5:$A$2000,$A40,Måned!$C$5:$C$2000,MONTH(BE$5+3))=0,"",MAX(1,MIN(5,SUMIFS(Måned!$H$5:$H$2000,Måned!$A$5:$A$2000,$A40,Måned!$C$5:$C$2000,MONTH(BE$5+3))+SUMPRODUCT((Vinduer!$A$5:$A$300=$A40)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1">
      <c r="A41" s="5">
        <f>IF(Destinasjoner!A37="","",Destinasjoner!A37)</f>
        <v/>
      </c>
      <c r="B41" s="5">
        <f>IF(A41="","",Destinasjoner!E37)</f>
        <v/>
      </c>
      <c r="C41" s="5">
        <f>IF(A41="","",Destinasjoner!B37)</f>
        <v/>
      </c>
      <c r="D41" s="17">
        <f>IFERROR(SUMIFS(F41:BE41,$F$7:$BE$7,"x")/COUNTIFS($F$7:$BE$7,"x",F41:BE41,"&gt;0"),"")</f>
        <v/>
      </c>
      <c r="E41" s="18">
        <f>IF(D41="","",_xlfn.MINIFS(F41:BE41,$F$7:$BE$7,"x",F41:BE41,"&gt;0"))</f>
        <v/>
      </c>
      <c r="F41" s="19">
        <f>IF($A41="","",IF(COUNTIFS(Måned!$A$5:$A$2000,$A41,Måned!$C$5:$C$2000,MONTH(F$5+3))=0,"",MAX(1,MIN(5,SUMIFS(Måned!$H$5:$H$2000,Måned!$A$5:$A$2000,$A41,Måned!$C$5:$C$2000,MONTH(F$5+3))+SUMPRODUCT((Vinduer!$A$5:$A$300=$A41)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1" s="19">
        <f>IF($A41="","",IF(COUNTIFS(Måned!$A$5:$A$2000,$A41,Måned!$C$5:$C$2000,MONTH(G$5+3))=0,"",MAX(1,MIN(5,SUMIFS(Måned!$H$5:$H$2000,Måned!$A$5:$A$2000,$A41,Måned!$C$5:$C$2000,MONTH(G$5+3))+SUMPRODUCT((Vinduer!$A$5:$A$300=$A41)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1" s="19">
        <f>IF($A41="","",IF(COUNTIFS(Måned!$A$5:$A$2000,$A41,Måned!$C$5:$C$2000,MONTH(H$5+3))=0,"",MAX(1,MIN(5,SUMIFS(Måned!$H$5:$H$2000,Måned!$A$5:$A$2000,$A41,Måned!$C$5:$C$2000,MONTH(H$5+3))+SUMPRODUCT((Vinduer!$A$5:$A$300=$A41)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1" s="19">
        <f>IF($A41="","",IF(COUNTIFS(Måned!$A$5:$A$2000,$A41,Måned!$C$5:$C$2000,MONTH(I$5+3))=0,"",MAX(1,MIN(5,SUMIFS(Måned!$H$5:$H$2000,Måned!$A$5:$A$2000,$A41,Måned!$C$5:$C$2000,MONTH(I$5+3))+SUMPRODUCT((Vinduer!$A$5:$A$300=$A41)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1" s="19">
        <f>IF($A41="","",IF(COUNTIFS(Måned!$A$5:$A$2000,$A41,Måned!$C$5:$C$2000,MONTH(J$5+3))=0,"",MAX(1,MIN(5,SUMIFS(Måned!$H$5:$H$2000,Måned!$A$5:$A$2000,$A41,Måned!$C$5:$C$2000,MONTH(J$5+3))+SUMPRODUCT((Vinduer!$A$5:$A$300=$A41)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1" s="19">
        <f>IF($A41="","",IF(COUNTIFS(Måned!$A$5:$A$2000,$A41,Måned!$C$5:$C$2000,MONTH(K$5+3))=0,"",MAX(1,MIN(5,SUMIFS(Måned!$H$5:$H$2000,Måned!$A$5:$A$2000,$A41,Måned!$C$5:$C$2000,MONTH(K$5+3))+SUMPRODUCT((Vinduer!$A$5:$A$300=$A41)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1" s="19">
        <f>IF($A41="","",IF(COUNTIFS(Måned!$A$5:$A$2000,$A41,Måned!$C$5:$C$2000,MONTH(L$5+3))=0,"",MAX(1,MIN(5,SUMIFS(Måned!$H$5:$H$2000,Måned!$A$5:$A$2000,$A41,Måned!$C$5:$C$2000,MONTH(L$5+3))+SUMPRODUCT((Vinduer!$A$5:$A$300=$A41)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1" s="19">
        <f>IF($A41="","",IF(COUNTIFS(Måned!$A$5:$A$2000,$A41,Måned!$C$5:$C$2000,MONTH(M$5+3))=0,"",MAX(1,MIN(5,SUMIFS(Måned!$H$5:$H$2000,Måned!$A$5:$A$2000,$A41,Måned!$C$5:$C$2000,MONTH(M$5+3))+SUMPRODUCT((Vinduer!$A$5:$A$300=$A41)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1" s="19">
        <f>IF($A41="","",IF(COUNTIFS(Måned!$A$5:$A$2000,$A41,Måned!$C$5:$C$2000,MONTH(N$5+3))=0,"",MAX(1,MIN(5,SUMIFS(Måned!$H$5:$H$2000,Måned!$A$5:$A$2000,$A41,Måned!$C$5:$C$2000,MONTH(N$5+3))+SUMPRODUCT((Vinduer!$A$5:$A$300=$A41)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1" s="19">
        <f>IF($A41="","",IF(COUNTIFS(Måned!$A$5:$A$2000,$A41,Måned!$C$5:$C$2000,MONTH(O$5+3))=0,"",MAX(1,MIN(5,SUMIFS(Måned!$H$5:$H$2000,Måned!$A$5:$A$2000,$A41,Måned!$C$5:$C$2000,MONTH(O$5+3))+SUMPRODUCT((Vinduer!$A$5:$A$300=$A41)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1" s="19">
        <f>IF($A41="","",IF(COUNTIFS(Måned!$A$5:$A$2000,$A41,Måned!$C$5:$C$2000,MONTH(P$5+3))=0,"",MAX(1,MIN(5,SUMIFS(Måned!$H$5:$H$2000,Måned!$A$5:$A$2000,$A41,Måned!$C$5:$C$2000,MONTH(P$5+3))+SUMPRODUCT((Vinduer!$A$5:$A$300=$A41)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1" s="19">
        <f>IF($A41="","",IF(COUNTIFS(Måned!$A$5:$A$2000,$A41,Måned!$C$5:$C$2000,MONTH(Q$5+3))=0,"",MAX(1,MIN(5,SUMIFS(Måned!$H$5:$H$2000,Måned!$A$5:$A$2000,$A41,Måned!$C$5:$C$2000,MONTH(Q$5+3))+SUMPRODUCT((Vinduer!$A$5:$A$300=$A41)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1" s="19">
        <f>IF($A41="","",IF(COUNTIFS(Måned!$A$5:$A$2000,$A41,Måned!$C$5:$C$2000,MONTH(R$5+3))=0,"",MAX(1,MIN(5,SUMIFS(Måned!$H$5:$H$2000,Måned!$A$5:$A$2000,$A41,Måned!$C$5:$C$2000,MONTH(R$5+3))+SUMPRODUCT((Vinduer!$A$5:$A$300=$A41)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1" s="19">
        <f>IF($A41="","",IF(COUNTIFS(Måned!$A$5:$A$2000,$A41,Måned!$C$5:$C$2000,MONTH(S$5+3))=0,"",MAX(1,MIN(5,SUMIFS(Måned!$H$5:$H$2000,Måned!$A$5:$A$2000,$A41,Måned!$C$5:$C$2000,MONTH(S$5+3))+SUMPRODUCT((Vinduer!$A$5:$A$300=$A41)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1" s="19">
        <f>IF($A41="","",IF(COUNTIFS(Måned!$A$5:$A$2000,$A41,Måned!$C$5:$C$2000,MONTH(T$5+3))=0,"",MAX(1,MIN(5,SUMIFS(Måned!$H$5:$H$2000,Måned!$A$5:$A$2000,$A41,Måned!$C$5:$C$2000,MONTH(T$5+3))+SUMPRODUCT((Vinduer!$A$5:$A$300=$A41)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1" s="19">
        <f>IF($A41="","",IF(COUNTIFS(Måned!$A$5:$A$2000,$A41,Måned!$C$5:$C$2000,MONTH(U$5+3))=0,"",MAX(1,MIN(5,SUMIFS(Måned!$H$5:$H$2000,Måned!$A$5:$A$2000,$A41,Måned!$C$5:$C$2000,MONTH(U$5+3))+SUMPRODUCT((Vinduer!$A$5:$A$300=$A41)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1" s="19">
        <f>IF($A41="","",IF(COUNTIFS(Måned!$A$5:$A$2000,$A41,Måned!$C$5:$C$2000,MONTH(V$5+3))=0,"",MAX(1,MIN(5,SUMIFS(Måned!$H$5:$H$2000,Måned!$A$5:$A$2000,$A41,Måned!$C$5:$C$2000,MONTH(V$5+3))+SUMPRODUCT((Vinduer!$A$5:$A$300=$A41)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1" s="19">
        <f>IF($A41="","",IF(COUNTIFS(Måned!$A$5:$A$2000,$A41,Måned!$C$5:$C$2000,MONTH(W$5+3))=0,"",MAX(1,MIN(5,SUMIFS(Måned!$H$5:$H$2000,Måned!$A$5:$A$2000,$A41,Måned!$C$5:$C$2000,MONTH(W$5+3))+SUMPRODUCT((Vinduer!$A$5:$A$300=$A41)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1" s="19">
        <f>IF($A41="","",IF(COUNTIFS(Måned!$A$5:$A$2000,$A41,Måned!$C$5:$C$2000,MONTH(X$5+3))=0,"",MAX(1,MIN(5,SUMIFS(Måned!$H$5:$H$2000,Måned!$A$5:$A$2000,$A41,Måned!$C$5:$C$2000,MONTH(X$5+3))+SUMPRODUCT((Vinduer!$A$5:$A$300=$A41)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1" s="19">
        <f>IF($A41="","",IF(COUNTIFS(Måned!$A$5:$A$2000,$A41,Måned!$C$5:$C$2000,MONTH(Y$5+3))=0,"",MAX(1,MIN(5,SUMIFS(Måned!$H$5:$H$2000,Måned!$A$5:$A$2000,$A41,Måned!$C$5:$C$2000,MONTH(Y$5+3))+SUMPRODUCT((Vinduer!$A$5:$A$300=$A41)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1" s="19">
        <f>IF($A41="","",IF(COUNTIFS(Måned!$A$5:$A$2000,$A41,Måned!$C$5:$C$2000,MONTH(Z$5+3))=0,"",MAX(1,MIN(5,SUMIFS(Måned!$H$5:$H$2000,Måned!$A$5:$A$2000,$A41,Måned!$C$5:$C$2000,MONTH(Z$5+3))+SUMPRODUCT((Vinduer!$A$5:$A$300=$A41)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1" s="19">
        <f>IF($A41="","",IF(COUNTIFS(Måned!$A$5:$A$2000,$A41,Måned!$C$5:$C$2000,MONTH(AA$5+3))=0,"",MAX(1,MIN(5,SUMIFS(Måned!$H$5:$H$2000,Måned!$A$5:$A$2000,$A41,Måned!$C$5:$C$2000,MONTH(AA$5+3))+SUMPRODUCT((Vinduer!$A$5:$A$300=$A41)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1" s="19">
        <f>IF($A41="","",IF(COUNTIFS(Måned!$A$5:$A$2000,$A41,Måned!$C$5:$C$2000,MONTH(AB$5+3))=0,"",MAX(1,MIN(5,SUMIFS(Måned!$H$5:$H$2000,Måned!$A$5:$A$2000,$A41,Måned!$C$5:$C$2000,MONTH(AB$5+3))+SUMPRODUCT((Vinduer!$A$5:$A$300=$A41)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1" s="19">
        <f>IF($A41="","",IF(COUNTIFS(Måned!$A$5:$A$2000,$A41,Måned!$C$5:$C$2000,MONTH(AC$5+3))=0,"",MAX(1,MIN(5,SUMIFS(Måned!$H$5:$H$2000,Måned!$A$5:$A$2000,$A41,Måned!$C$5:$C$2000,MONTH(AC$5+3))+SUMPRODUCT((Vinduer!$A$5:$A$300=$A41)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1" s="19">
        <f>IF($A41="","",IF(COUNTIFS(Måned!$A$5:$A$2000,$A41,Måned!$C$5:$C$2000,MONTH(AD$5+3))=0,"",MAX(1,MIN(5,SUMIFS(Måned!$H$5:$H$2000,Måned!$A$5:$A$2000,$A41,Måned!$C$5:$C$2000,MONTH(AD$5+3))+SUMPRODUCT((Vinduer!$A$5:$A$300=$A41)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1" s="19">
        <f>IF($A41="","",IF(COUNTIFS(Måned!$A$5:$A$2000,$A41,Måned!$C$5:$C$2000,MONTH(AE$5+3))=0,"",MAX(1,MIN(5,SUMIFS(Måned!$H$5:$H$2000,Måned!$A$5:$A$2000,$A41,Måned!$C$5:$C$2000,MONTH(AE$5+3))+SUMPRODUCT((Vinduer!$A$5:$A$300=$A41)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1" s="19">
        <f>IF($A41="","",IF(COUNTIFS(Måned!$A$5:$A$2000,$A41,Måned!$C$5:$C$2000,MONTH(AF$5+3))=0,"",MAX(1,MIN(5,SUMIFS(Måned!$H$5:$H$2000,Måned!$A$5:$A$2000,$A41,Måned!$C$5:$C$2000,MONTH(AF$5+3))+SUMPRODUCT((Vinduer!$A$5:$A$300=$A41)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1" s="19">
        <f>IF($A41="","",IF(COUNTIFS(Måned!$A$5:$A$2000,$A41,Måned!$C$5:$C$2000,MONTH(AG$5+3))=0,"",MAX(1,MIN(5,SUMIFS(Måned!$H$5:$H$2000,Måned!$A$5:$A$2000,$A41,Måned!$C$5:$C$2000,MONTH(AG$5+3))+SUMPRODUCT((Vinduer!$A$5:$A$300=$A41)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1" s="19">
        <f>IF($A41="","",IF(COUNTIFS(Måned!$A$5:$A$2000,$A41,Måned!$C$5:$C$2000,MONTH(AH$5+3))=0,"",MAX(1,MIN(5,SUMIFS(Måned!$H$5:$H$2000,Måned!$A$5:$A$2000,$A41,Måned!$C$5:$C$2000,MONTH(AH$5+3))+SUMPRODUCT((Vinduer!$A$5:$A$300=$A41)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1" s="19">
        <f>IF($A41="","",IF(COUNTIFS(Måned!$A$5:$A$2000,$A41,Måned!$C$5:$C$2000,MONTH(AI$5+3))=0,"",MAX(1,MIN(5,SUMIFS(Måned!$H$5:$H$2000,Måned!$A$5:$A$2000,$A41,Måned!$C$5:$C$2000,MONTH(AI$5+3))+SUMPRODUCT((Vinduer!$A$5:$A$300=$A41)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1" s="19">
        <f>IF($A41="","",IF(COUNTIFS(Måned!$A$5:$A$2000,$A41,Måned!$C$5:$C$2000,MONTH(AJ$5+3))=0,"",MAX(1,MIN(5,SUMIFS(Måned!$H$5:$H$2000,Måned!$A$5:$A$2000,$A41,Måned!$C$5:$C$2000,MONTH(AJ$5+3))+SUMPRODUCT((Vinduer!$A$5:$A$300=$A41)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1" s="19">
        <f>IF($A41="","",IF(COUNTIFS(Måned!$A$5:$A$2000,$A41,Måned!$C$5:$C$2000,MONTH(AK$5+3))=0,"",MAX(1,MIN(5,SUMIFS(Måned!$H$5:$H$2000,Måned!$A$5:$A$2000,$A41,Måned!$C$5:$C$2000,MONTH(AK$5+3))+SUMPRODUCT((Vinduer!$A$5:$A$300=$A41)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1" s="19">
        <f>IF($A41="","",IF(COUNTIFS(Måned!$A$5:$A$2000,$A41,Måned!$C$5:$C$2000,MONTH(AL$5+3))=0,"",MAX(1,MIN(5,SUMIFS(Måned!$H$5:$H$2000,Måned!$A$5:$A$2000,$A41,Måned!$C$5:$C$2000,MONTH(AL$5+3))+SUMPRODUCT((Vinduer!$A$5:$A$300=$A41)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1" s="19">
        <f>IF($A41="","",IF(COUNTIFS(Måned!$A$5:$A$2000,$A41,Måned!$C$5:$C$2000,MONTH(AM$5+3))=0,"",MAX(1,MIN(5,SUMIFS(Måned!$H$5:$H$2000,Måned!$A$5:$A$2000,$A41,Måned!$C$5:$C$2000,MONTH(AM$5+3))+SUMPRODUCT((Vinduer!$A$5:$A$300=$A41)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1" s="19">
        <f>IF($A41="","",IF(COUNTIFS(Måned!$A$5:$A$2000,$A41,Måned!$C$5:$C$2000,MONTH(AN$5+3))=0,"",MAX(1,MIN(5,SUMIFS(Måned!$H$5:$H$2000,Måned!$A$5:$A$2000,$A41,Måned!$C$5:$C$2000,MONTH(AN$5+3))+SUMPRODUCT((Vinduer!$A$5:$A$300=$A41)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1" s="19">
        <f>IF($A41="","",IF(COUNTIFS(Måned!$A$5:$A$2000,$A41,Måned!$C$5:$C$2000,MONTH(AO$5+3))=0,"",MAX(1,MIN(5,SUMIFS(Måned!$H$5:$H$2000,Måned!$A$5:$A$2000,$A41,Måned!$C$5:$C$2000,MONTH(AO$5+3))+SUMPRODUCT((Vinduer!$A$5:$A$300=$A41)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1" s="19">
        <f>IF($A41="","",IF(COUNTIFS(Måned!$A$5:$A$2000,$A41,Måned!$C$5:$C$2000,MONTH(AP$5+3))=0,"",MAX(1,MIN(5,SUMIFS(Måned!$H$5:$H$2000,Måned!$A$5:$A$2000,$A41,Måned!$C$5:$C$2000,MONTH(AP$5+3))+SUMPRODUCT((Vinduer!$A$5:$A$300=$A41)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1" s="19">
        <f>IF($A41="","",IF(COUNTIFS(Måned!$A$5:$A$2000,$A41,Måned!$C$5:$C$2000,MONTH(AQ$5+3))=0,"",MAX(1,MIN(5,SUMIFS(Måned!$H$5:$H$2000,Måned!$A$5:$A$2000,$A41,Måned!$C$5:$C$2000,MONTH(AQ$5+3))+SUMPRODUCT((Vinduer!$A$5:$A$300=$A41)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1" s="19">
        <f>IF($A41="","",IF(COUNTIFS(Måned!$A$5:$A$2000,$A41,Måned!$C$5:$C$2000,MONTH(AR$5+3))=0,"",MAX(1,MIN(5,SUMIFS(Måned!$H$5:$H$2000,Måned!$A$5:$A$2000,$A41,Måned!$C$5:$C$2000,MONTH(AR$5+3))+SUMPRODUCT((Vinduer!$A$5:$A$300=$A41)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1" s="19">
        <f>IF($A41="","",IF(COUNTIFS(Måned!$A$5:$A$2000,$A41,Måned!$C$5:$C$2000,MONTH(AS$5+3))=0,"",MAX(1,MIN(5,SUMIFS(Måned!$H$5:$H$2000,Måned!$A$5:$A$2000,$A41,Måned!$C$5:$C$2000,MONTH(AS$5+3))+SUMPRODUCT((Vinduer!$A$5:$A$300=$A41)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1" s="19">
        <f>IF($A41="","",IF(COUNTIFS(Måned!$A$5:$A$2000,$A41,Måned!$C$5:$C$2000,MONTH(AT$5+3))=0,"",MAX(1,MIN(5,SUMIFS(Måned!$H$5:$H$2000,Måned!$A$5:$A$2000,$A41,Måned!$C$5:$C$2000,MONTH(AT$5+3))+SUMPRODUCT((Vinduer!$A$5:$A$300=$A41)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1" s="19">
        <f>IF($A41="","",IF(COUNTIFS(Måned!$A$5:$A$2000,$A41,Måned!$C$5:$C$2000,MONTH(AU$5+3))=0,"",MAX(1,MIN(5,SUMIFS(Måned!$H$5:$H$2000,Måned!$A$5:$A$2000,$A41,Måned!$C$5:$C$2000,MONTH(AU$5+3))+SUMPRODUCT((Vinduer!$A$5:$A$300=$A41)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1" s="19">
        <f>IF($A41="","",IF(COUNTIFS(Måned!$A$5:$A$2000,$A41,Måned!$C$5:$C$2000,MONTH(AV$5+3))=0,"",MAX(1,MIN(5,SUMIFS(Måned!$H$5:$H$2000,Måned!$A$5:$A$2000,$A41,Måned!$C$5:$C$2000,MONTH(AV$5+3))+SUMPRODUCT((Vinduer!$A$5:$A$300=$A41)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1" s="19">
        <f>IF($A41="","",IF(COUNTIFS(Måned!$A$5:$A$2000,$A41,Måned!$C$5:$C$2000,MONTH(AW$5+3))=0,"",MAX(1,MIN(5,SUMIFS(Måned!$H$5:$H$2000,Måned!$A$5:$A$2000,$A41,Måned!$C$5:$C$2000,MONTH(AW$5+3))+SUMPRODUCT((Vinduer!$A$5:$A$300=$A41)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1" s="19">
        <f>IF($A41="","",IF(COUNTIFS(Måned!$A$5:$A$2000,$A41,Måned!$C$5:$C$2000,MONTH(AX$5+3))=0,"",MAX(1,MIN(5,SUMIFS(Måned!$H$5:$H$2000,Måned!$A$5:$A$2000,$A41,Måned!$C$5:$C$2000,MONTH(AX$5+3))+SUMPRODUCT((Vinduer!$A$5:$A$300=$A41)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1" s="19">
        <f>IF($A41="","",IF(COUNTIFS(Måned!$A$5:$A$2000,$A41,Måned!$C$5:$C$2000,MONTH(AY$5+3))=0,"",MAX(1,MIN(5,SUMIFS(Måned!$H$5:$H$2000,Måned!$A$5:$A$2000,$A41,Måned!$C$5:$C$2000,MONTH(AY$5+3))+SUMPRODUCT((Vinduer!$A$5:$A$300=$A41)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1" s="19">
        <f>IF($A41="","",IF(COUNTIFS(Måned!$A$5:$A$2000,$A41,Måned!$C$5:$C$2000,MONTH(AZ$5+3))=0,"",MAX(1,MIN(5,SUMIFS(Måned!$H$5:$H$2000,Måned!$A$5:$A$2000,$A41,Måned!$C$5:$C$2000,MONTH(AZ$5+3))+SUMPRODUCT((Vinduer!$A$5:$A$300=$A41)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1" s="19">
        <f>IF($A41="","",IF(COUNTIFS(Måned!$A$5:$A$2000,$A41,Måned!$C$5:$C$2000,MONTH(BA$5+3))=0,"",MAX(1,MIN(5,SUMIFS(Måned!$H$5:$H$2000,Måned!$A$5:$A$2000,$A41,Måned!$C$5:$C$2000,MONTH(BA$5+3))+SUMPRODUCT((Vinduer!$A$5:$A$300=$A41)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1" s="19">
        <f>IF($A41="","",IF(COUNTIFS(Måned!$A$5:$A$2000,$A41,Måned!$C$5:$C$2000,MONTH(BB$5+3))=0,"",MAX(1,MIN(5,SUMIFS(Måned!$H$5:$H$2000,Måned!$A$5:$A$2000,$A41,Måned!$C$5:$C$2000,MONTH(BB$5+3))+SUMPRODUCT((Vinduer!$A$5:$A$300=$A41)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1" s="19">
        <f>IF($A41="","",IF(COUNTIFS(Måned!$A$5:$A$2000,$A41,Måned!$C$5:$C$2000,MONTH(BC$5+3))=0,"",MAX(1,MIN(5,SUMIFS(Måned!$H$5:$H$2000,Måned!$A$5:$A$2000,$A41,Måned!$C$5:$C$2000,MONTH(BC$5+3))+SUMPRODUCT((Vinduer!$A$5:$A$300=$A41)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1" s="19">
        <f>IF($A41="","",IF(COUNTIFS(Måned!$A$5:$A$2000,$A41,Måned!$C$5:$C$2000,MONTH(BD$5+3))=0,"",MAX(1,MIN(5,SUMIFS(Måned!$H$5:$H$2000,Måned!$A$5:$A$2000,$A41,Måned!$C$5:$C$2000,MONTH(BD$5+3))+SUMPRODUCT((Vinduer!$A$5:$A$300=$A41)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1" s="19">
        <f>IF($A41="","",IF(COUNTIFS(Måned!$A$5:$A$2000,$A41,Måned!$C$5:$C$2000,MONTH(BE$5+3))=0,"",MAX(1,MIN(5,SUMIFS(Måned!$H$5:$H$2000,Måned!$A$5:$A$2000,$A41,Måned!$C$5:$C$2000,MONTH(BE$5+3))+SUMPRODUCT((Vinduer!$A$5:$A$300=$A41)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2">
      <c r="A42" s="5">
        <f>IF(Destinasjoner!A38="","",Destinasjoner!A38)</f>
        <v/>
      </c>
      <c r="B42" s="5">
        <f>IF(A42="","",Destinasjoner!E38)</f>
        <v/>
      </c>
      <c r="C42" s="5">
        <f>IF(A42="","",Destinasjoner!B38)</f>
        <v/>
      </c>
      <c r="D42" s="17">
        <f>IFERROR(SUMIFS(F42:BE42,$F$7:$BE$7,"x")/COUNTIFS($F$7:$BE$7,"x",F42:BE42,"&gt;0"),"")</f>
        <v/>
      </c>
      <c r="E42" s="18">
        <f>IF(D42="","",_xlfn.MINIFS(F42:BE42,$F$7:$BE$7,"x",F42:BE42,"&gt;0"))</f>
        <v/>
      </c>
      <c r="F42" s="19">
        <f>IF($A42="","",IF(COUNTIFS(Måned!$A$5:$A$2000,$A42,Måned!$C$5:$C$2000,MONTH(F$5+3))=0,"",MAX(1,MIN(5,SUMIFS(Måned!$H$5:$H$2000,Måned!$A$5:$A$2000,$A42,Måned!$C$5:$C$2000,MONTH(F$5+3))+SUMPRODUCT((Vinduer!$A$5:$A$300=$A42)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2" s="19">
        <f>IF($A42="","",IF(COUNTIFS(Måned!$A$5:$A$2000,$A42,Måned!$C$5:$C$2000,MONTH(G$5+3))=0,"",MAX(1,MIN(5,SUMIFS(Måned!$H$5:$H$2000,Måned!$A$5:$A$2000,$A42,Måned!$C$5:$C$2000,MONTH(G$5+3))+SUMPRODUCT((Vinduer!$A$5:$A$300=$A42)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2" s="19">
        <f>IF($A42="","",IF(COUNTIFS(Måned!$A$5:$A$2000,$A42,Måned!$C$5:$C$2000,MONTH(H$5+3))=0,"",MAX(1,MIN(5,SUMIFS(Måned!$H$5:$H$2000,Måned!$A$5:$A$2000,$A42,Måned!$C$5:$C$2000,MONTH(H$5+3))+SUMPRODUCT((Vinduer!$A$5:$A$300=$A42)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2" s="19">
        <f>IF($A42="","",IF(COUNTIFS(Måned!$A$5:$A$2000,$A42,Måned!$C$5:$C$2000,MONTH(I$5+3))=0,"",MAX(1,MIN(5,SUMIFS(Måned!$H$5:$H$2000,Måned!$A$5:$A$2000,$A42,Måned!$C$5:$C$2000,MONTH(I$5+3))+SUMPRODUCT((Vinduer!$A$5:$A$300=$A42)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2" s="19">
        <f>IF($A42="","",IF(COUNTIFS(Måned!$A$5:$A$2000,$A42,Måned!$C$5:$C$2000,MONTH(J$5+3))=0,"",MAX(1,MIN(5,SUMIFS(Måned!$H$5:$H$2000,Måned!$A$5:$A$2000,$A42,Måned!$C$5:$C$2000,MONTH(J$5+3))+SUMPRODUCT((Vinduer!$A$5:$A$300=$A42)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2" s="19">
        <f>IF($A42="","",IF(COUNTIFS(Måned!$A$5:$A$2000,$A42,Måned!$C$5:$C$2000,MONTH(K$5+3))=0,"",MAX(1,MIN(5,SUMIFS(Måned!$H$5:$H$2000,Måned!$A$5:$A$2000,$A42,Måned!$C$5:$C$2000,MONTH(K$5+3))+SUMPRODUCT((Vinduer!$A$5:$A$300=$A42)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2" s="19">
        <f>IF($A42="","",IF(COUNTIFS(Måned!$A$5:$A$2000,$A42,Måned!$C$5:$C$2000,MONTH(L$5+3))=0,"",MAX(1,MIN(5,SUMIFS(Måned!$H$5:$H$2000,Måned!$A$5:$A$2000,$A42,Måned!$C$5:$C$2000,MONTH(L$5+3))+SUMPRODUCT((Vinduer!$A$5:$A$300=$A42)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2" s="19">
        <f>IF($A42="","",IF(COUNTIFS(Måned!$A$5:$A$2000,$A42,Måned!$C$5:$C$2000,MONTH(M$5+3))=0,"",MAX(1,MIN(5,SUMIFS(Måned!$H$5:$H$2000,Måned!$A$5:$A$2000,$A42,Måned!$C$5:$C$2000,MONTH(M$5+3))+SUMPRODUCT((Vinduer!$A$5:$A$300=$A42)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2" s="19">
        <f>IF($A42="","",IF(COUNTIFS(Måned!$A$5:$A$2000,$A42,Måned!$C$5:$C$2000,MONTH(N$5+3))=0,"",MAX(1,MIN(5,SUMIFS(Måned!$H$5:$H$2000,Måned!$A$5:$A$2000,$A42,Måned!$C$5:$C$2000,MONTH(N$5+3))+SUMPRODUCT((Vinduer!$A$5:$A$300=$A42)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2" s="19">
        <f>IF($A42="","",IF(COUNTIFS(Måned!$A$5:$A$2000,$A42,Måned!$C$5:$C$2000,MONTH(O$5+3))=0,"",MAX(1,MIN(5,SUMIFS(Måned!$H$5:$H$2000,Måned!$A$5:$A$2000,$A42,Måned!$C$5:$C$2000,MONTH(O$5+3))+SUMPRODUCT((Vinduer!$A$5:$A$300=$A42)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2" s="19">
        <f>IF($A42="","",IF(COUNTIFS(Måned!$A$5:$A$2000,$A42,Måned!$C$5:$C$2000,MONTH(P$5+3))=0,"",MAX(1,MIN(5,SUMIFS(Måned!$H$5:$H$2000,Måned!$A$5:$A$2000,$A42,Måned!$C$5:$C$2000,MONTH(P$5+3))+SUMPRODUCT((Vinduer!$A$5:$A$300=$A42)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2" s="19">
        <f>IF($A42="","",IF(COUNTIFS(Måned!$A$5:$A$2000,$A42,Måned!$C$5:$C$2000,MONTH(Q$5+3))=0,"",MAX(1,MIN(5,SUMIFS(Måned!$H$5:$H$2000,Måned!$A$5:$A$2000,$A42,Måned!$C$5:$C$2000,MONTH(Q$5+3))+SUMPRODUCT((Vinduer!$A$5:$A$300=$A42)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2" s="19">
        <f>IF($A42="","",IF(COUNTIFS(Måned!$A$5:$A$2000,$A42,Måned!$C$5:$C$2000,MONTH(R$5+3))=0,"",MAX(1,MIN(5,SUMIFS(Måned!$H$5:$H$2000,Måned!$A$5:$A$2000,$A42,Måned!$C$5:$C$2000,MONTH(R$5+3))+SUMPRODUCT((Vinduer!$A$5:$A$300=$A42)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2" s="19">
        <f>IF($A42="","",IF(COUNTIFS(Måned!$A$5:$A$2000,$A42,Måned!$C$5:$C$2000,MONTH(S$5+3))=0,"",MAX(1,MIN(5,SUMIFS(Måned!$H$5:$H$2000,Måned!$A$5:$A$2000,$A42,Måned!$C$5:$C$2000,MONTH(S$5+3))+SUMPRODUCT((Vinduer!$A$5:$A$300=$A42)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2" s="19">
        <f>IF($A42="","",IF(COUNTIFS(Måned!$A$5:$A$2000,$A42,Måned!$C$5:$C$2000,MONTH(T$5+3))=0,"",MAX(1,MIN(5,SUMIFS(Måned!$H$5:$H$2000,Måned!$A$5:$A$2000,$A42,Måned!$C$5:$C$2000,MONTH(T$5+3))+SUMPRODUCT((Vinduer!$A$5:$A$300=$A42)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2" s="19">
        <f>IF($A42="","",IF(COUNTIFS(Måned!$A$5:$A$2000,$A42,Måned!$C$5:$C$2000,MONTH(U$5+3))=0,"",MAX(1,MIN(5,SUMIFS(Måned!$H$5:$H$2000,Måned!$A$5:$A$2000,$A42,Måned!$C$5:$C$2000,MONTH(U$5+3))+SUMPRODUCT((Vinduer!$A$5:$A$300=$A42)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2" s="19">
        <f>IF($A42="","",IF(COUNTIFS(Måned!$A$5:$A$2000,$A42,Måned!$C$5:$C$2000,MONTH(V$5+3))=0,"",MAX(1,MIN(5,SUMIFS(Måned!$H$5:$H$2000,Måned!$A$5:$A$2000,$A42,Måned!$C$5:$C$2000,MONTH(V$5+3))+SUMPRODUCT((Vinduer!$A$5:$A$300=$A42)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2" s="19">
        <f>IF($A42="","",IF(COUNTIFS(Måned!$A$5:$A$2000,$A42,Måned!$C$5:$C$2000,MONTH(W$5+3))=0,"",MAX(1,MIN(5,SUMIFS(Måned!$H$5:$H$2000,Måned!$A$5:$A$2000,$A42,Måned!$C$5:$C$2000,MONTH(W$5+3))+SUMPRODUCT((Vinduer!$A$5:$A$300=$A42)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2" s="19">
        <f>IF($A42="","",IF(COUNTIFS(Måned!$A$5:$A$2000,$A42,Måned!$C$5:$C$2000,MONTH(X$5+3))=0,"",MAX(1,MIN(5,SUMIFS(Måned!$H$5:$H$2000,Måned!$A$5:$A$2000,$A42,Måned!$C$5:$C$2000,MONTH(X$5+3))+SUMPRODUCT((Vinduer!$A$5:$A$300=$A42)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2" s="19">
        <f>IF($A42="","",IF(COUNTIFS(Måned!$A$5:$A$2000,$A42,Måned!$C$5:$C$2000,MONTH(Y$5+3))=0,"",MAX(1,MIN(5,SUMIFS(Måned!$H$5:$H$2000,Måned!$A$5:$A$2000,$A42,Måned!$C$5:$C$2000,MONTH(Y$5+3))+SUMPRODUCT((Vinduer!$A$5:$A$300=$A42)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2" s="19">
        <f>IF($A42="","",IF(COUNTIFS(Måned!$A$5:$A$2000,$A42,Måned!$C$5:$C$2000,MONTH(Z$5+3))=0,"",MAX(1,MIN(5,SUMIFS(Måned!$H$5:$H$2000,Måned!$A$5:$A$2000,$A42,Måned!$C$5:$C$2000,MONTH(Z$5+3))+SUMPRODUCT((Vinduer!$A$5:$A$300=$A42)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2" s="19">
        <f>IF($A42="","",IF(COUNTIFS(Måned!$A$5:$A$2000,$A42,Måned!$C$5:$C$2000,MONTH(AA$5+3))=0,"",MAX(1,MIN(5,SUMIFS(Måned!$H$5:$H$2000,Måned!$A$5:$A$2000,$A42,Måned!$C$5:$C$2000,MONTH(AA$5+3))+SUMPRODUCT((Vinduer!$A$5:$A$300=$A42)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2" s="19">
        <f>IF($A42="","",IF(COUNTIFS(Måned!$A$5:$A$2000,$A42,Måned!$C$5:$C$2000,MONTH(AB$5+3))=0,"",MAX(1,MIN(5,SUMIFS(Måned!$H$5:$H$2000,Måned!$A$5:$A$2000,$A42,Måned!$C$5:$C$2000,MONTH(AB$5+3))+SUMPRODUCT((Vinduer!$A$5:$A$300=$A42)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2" s="19">
        <f>IF($A42="","",IF(COUNTIFS(Måned!$A$5:$A$2000,$A42,Måned!$C$5:$C$2000,MONTH(AC$5+3))=0,"",MAX(1,MIN(5,SUMIFS(Måned!$H$5:$H$2000,Måned!$A$5:$A$2000,$A42,Måned!$C$5:$C$2000,MONTH(AC$5+3))+SUMPRODUCT((Vinduer!$A$5:$A$300=$A42)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2" s="19">
        <f>IF($A42="","",IF(COUNTIFS(Måned!$A$5:$A$2000,$A42,Måned!$C$5:$C$2000,MONTH(AD$5+3))=0,"",MAX(1,MIN(5,SUMIFS(Måned!$H$5:$H$2000,Måned!$A$5:$A$2000,$A42,Måned!$C$5:$C$2000,MONTH(AD$5+3))+SUMPRODUCT((Vinduer!$A$5:$A$300=$A42)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2" s="19">
        <f>IF($A42="","",IF(COUNTIFS(Måned!$A$5:$A$2000,$A42,Måned!$C$5:$C$2000,MONTH(AE$5+3))=0,"",MAX(1,MIN(5,SUMIFS(Måned!$H$5:$H$2000,Måned!$A$5:$A$2000,$A42,Måned!$C$5:$C$2000,MONTH(AE$5+3))+SUMPRODUCT((Vinduer!$A$5:$A$300=$A42)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2" s="19">
        <f>IF($A42="","",IF(COUNTIFS(Måned!$A$5:$A$2000,$A42,Måned!$C$5:$C$2000,MONTH(AF$5+3))=0,"",MAX(1,MIN(5,SUMIFS(Måned!$H$5:$H$2000,Måned!$A$5:$A$2000,$A42,Måned!$C$5:$C$2000,MONTH(AF$5+3))+SUMPRODUCT((Vinduer!$A$5:$A$300=$A42)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2" s="19">
        <f>IF($A42="","",IF(COUNTIFS(Måned!$A$5:$A$2000,$A42,Måned!$C$5:$C$2000,MONTH(AG$5+3))=0,"",MAX(1,MIN(5,SUMIFS(Måned!$H$5:$H$2000,Måned!$A$5:$A$2000,$A42,Måned!$C$5:$C$2000,MONTH(AG$5+3))+SUMPRODUCT((Vinduer!$A$5:$A$300=$A42)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2" s="19">
        <f>IF($A42="","",IF(COUNTIFS(Måned!$A$5:$A$2000,$A42,Måned!$C$5:$C$2000,MONTH(AH$5+3))=0,"",MAX(1,MIN(5,SUMIFS(Måned!$H$5:$H$2000,Måned!$A$5:$A$2000,$A42,Måned!$C$5:$C$2000,MONTH(AH$5+3))+SUMPRODUCT((Vinduer!$A$5:$A$300=$A42)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2" s="19">
        <f>IF($A42="","",IF(COUNTIFS(Måned!$A$5:$A$2000,$A42,Måned!$C$5:$C$2000,MONTH(AI$5+3))=0,"",MAX(1,MIN(5,SUMIFS(Måned!$H$5:$H$2000,Måned!$A$5:$A$2000,$A42,Måned!$C$5:$C$2000,MONTH(AI$5+3))+SUMPRODUCT((Vinduer!$A$5:$A$300=$A42)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2" s="19">
        <f>IF($A42="","",IF(COUNTIFS(Måned!$A$5:$A$2000,$A42,Måned!$C$5:$C$2000,MONTH(AJ$5+3))=0,"",MAX(1,MIN(5,SUMIFS(Måned!$H$5:$H$2000,Måned!$A$5:$A$2000,$A42,Måned!$C$5:$C$2000,MONTH(AJ$5+3))+SUMPRODUCT((Vinduer!$A$5:$A$300=$A42)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2" s="19">
        <f>IF($A42="","",IF(COUNTIFS(Måned!$A$5:$A$2000,$A42,Måned!$C$5:$C$2000,MONTH(AK$5+3))=0,"",MAX(1,MIN(5,SUMIFS(Måned!$H$5:$H$2000,Måned!$A$5:$A$2000,$A42,Måned!$C$5:$C$2000,MONTH(AK$5+3))+SUMPRODUCT((Vinduer!$A$5:$A$300=$A42)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2" s="19">
        <f>IF($A42="","",IF(COUNTIFS(Måned!$A$5:$A$2000,$A42,Måned!$C$5:$C$2000,MONTH(AL$5+3))=0,"",MAX(1,MIN(5,SUMIFS(Måned!$H$5:$H$2000,Måned!$A$5:$A$2000,$A42,Måned!$C$5:$C$2000,MONTH(AL$5+3))+SUMPRODUCT((Vinduer!$A$5:$A$300=$A42)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2" s="19">
        <f>IF($A42="","",IF(COUNTIFS(Måned!$A$5:$A$2000,$A42,Måned!$C$5:$C$2000,MONTH(AM$5+3))=0,"",MAX(1,MIN(5,SUMIFS(Måned!$H$5:$H$2000,Måned!$A$5:$A$2000,$A42,Måned!$C$5:$C$2000,MONTH(AM$5+3))+SUMPRODUCT((Vinduer!$A$5:$A$300=$A42)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2" s="19">
        <f>IF($A42="","",IF(COUNTIFS(Måned!$A$5:$A$2000,$A42,Måned!$C$5:$C$2000,MONTH(AN$5+3))=0,"",MAX(1,MIN(5,SUMIFS(Måned!$H$5:$H$2000,Måned!$A$5:$A$2000,$A42,Måned!$C$5:$C$2000,MONTH(AN$5+3))+SUMPRODUCT((Vinduer!$A$5:$A$300=$A42)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2" s="19">
        <f>IF($A42="","",IF(COUNTIFS(Måned!$A$5:$A$2000,$A42,Måned!$C$5:$C$2000,MONTH(AO$5+3))=0,"",MAX(1,MIN(5,SUMIFS(Måned!$H$5:$H$2000,Måned!$A$5:$A$2000,$A42,Måned!$C$5:$C$2000,MONTH(AO$5+3))+SUMPRODUCT((Vinduer!$A$5:$A$300=$A42)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2" s="19">
        <f>IF($A42="","",IF(COUNTIFS(Måned!$A$5:$A$2000,$A42,Måned!$C$5:$C$2000,MONTH(AP$5+3))=0,"",MAX(1,MIN(5,SUMIFS(Måned!$H$5:$H$2000,Måned!$A$5:$A$2000,$A42,Måned!$C$5:$C$2000,MONTH(AP$5+3))+SUMPRODUCT((Vinduer!$A$5:$A$300=$A42)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2" s="19">
        <f>IF($A42="","",IF(COUNTIFS(Måned!$A$5:$A$2000,$A42,Måned!$C$5:$C$2000,MONTH(AQ$5+3))=0,"",MAX(1,MIN(5,SUMIFS(Måned!$H$5:$H$2000,Måned!$A$5:$A$2000,$A42,Måned!$C$5:$C$2000,MONTH(AQ$5+3))+SUMPRODUCT((Vinduer!$A$5:$A$300=$A42)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2" s="19">
        <f>IF($A42="","",IF(COUNTIFS(Måned!$A$5:$A$2000,$A42,Måned!$C$5:$C$2000,MONTH(AR$5+3))=0,"",MAX(1,MIN(5,SUMIFS(Måned!$H$5:$H$2000,Måned!$A$5:$A$2000,$A42,Måned!$C$5:$C$2000,MONTH(AR$5+3))+SUMPRODUCT((Vinduer!$A$5:$A$300=$A42)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2" s="19">
        <f>IF($A42="","",IF(COUNTIFS(Måned!$A$5:$A$2000,$A42,Måned!$C$5:$C$2000,MONTH(AS$5+3))=0,"",MAX(1,MIN(5,SUMIFS(Måned!$H$5:$H$2000,Måned!$A$5:$A$2000,$A42,Måned!$C$5:$C$2000,MONTH(AS$5+3))+SUMPRODUCT((Vinduer!$A$5:$A$300=$A42)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2" s="19">
        <f>IF($A42="","",IF(COUNTIFS(Måned!$A$5:$A$2000,$A42,Måned!$C$5:$C$2000,MONTH(AT$5+3))=0,"",MAX(1,MIN(5,SUMIFS(Måned!$H$5:$H$2000,Måned!$A$5:$A$2000,$A42,Måned!$C$5:$C$2000,MONTH(AT$5+3))+SUMPRODUCT((Vinduer!$A$5:$A$300=$A42)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2" s="19">
        <f>IF($A42="","",IF(COUNTIFS(Måned!$A$5:$A$2000,$A42,Måned!$C$5:$C$2000,MONTH(AU$5+3))=0,"",MAX(1,MIN(5,SUMIFS(Måned!$H$5:$H$2000,Måned!$A$5:$A$2000,$A42,Måned!$C$5:$C$2000,MONTH(AU$5+3))+SUMPRODUCT((Vinduer!$A$5:$A$300=$A42)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2" s="19">
        <f>IF($A42="","",IF(COUNTIFS(Måned!$A$5:$A$2000,$A42,Måned!$C$5:$C$2000,MONTH(AV$5+3))=0,"",MAX(1,MIN(5,SUMIFS(Måned!$H$5:$H$2000,Måned!$A$5:$A$2000,$A42,Måned!$C$5:$C$2000,MONTH(AV$5+3))+SUMPRODUCT((Vinduer!$A$5:$A$300=$A42)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2" s="19">
        <f>IF($A42="","",IF(COUNTIFS(Måned!$A$5:$A$2000,$A42,Måned!$C$5:$C$2000,MONTH(AW$5+3))=0,"",MAX(1,MIN(5,SUMIFS(Måned!$H$5:$H$2000,Måned!$A$5:$A$2000,$A42,Måned!$C$5:$C$2000,MONTH(AW$5+3))+SUMPRODUCT((Vinduer!$A$5:$A$300=$A42)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2" s="19">
        <f>IF($A42="","",IF(COUNTIFS(Måned!$A$5:$A$2000,$A42,Måned!$C$5:$C$2000,MONTH(AX$5+3))=0,"",MAX(1,MIN(5,SUMIFS(Måned!$H$5:$H$2000,Måned!$A$5:$A$2000,$A42,Måned!$C$5:$C$2000,MONTH(AX$5+3))+SUMPRODUCT((Vinduer!$A$5:$A$300=$A42)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2" s="19">
        <f>IF($A42="","",IF(COUNTIFS(Måned!$A$5:$A$2000,$A42,Måned!$C$5:$C$2000,MONTH(AY$5+3))=0,"",MAX(1,MIN(5,SUMIFS(Måned!$H$5:$H$2000,Måned!$A$5:$A$2000,$A42,Måned!$C$5:$C$2000,MONTH(AY$5+3))+SUMPRODUCT((Vinduer!$A$5:$A$300=$A42)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2" s="19">
        <f>IF($A42="","",IF(COUNTIFS(Måned!$A$5:$A$2000,$A42,Måned!$C$5:$C$2000,MONTH(AZ$5+3))=0,"",MAX(1,MIN(5,SUMIFS(Måned!$H$5:$H$2000,Måned!$A$5:$A$2000,$A42,Måned!$C$5:$C$2000,MONTH(AZ$5+3))+SUMPRODUCT((Vinduer!$A$5:$A$300=$A42)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2" s="19">
        <f>IF($A42="","",IF(COUNTIFS(Måned!$A$5:$A$2000,$A42,Måned!$C$5:$C$2000,MONTH(BA$5+3))=0,"",MAX(1,MIN(5,SUMIFS(Måned!$H$5:$H$2000,Måned!$A$5:$A$2000,$A42,Måned!$C$5:$C$2000,MONTH(BA$5+3))+SUMPRODUCT((Vinduer!$A$5:$A$300=$A42)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2" s="19">
        <f>IF($A42="","",IF(COUNTIFS(Måned!$A$5:$A$2000,$A42,Måned!$C$5:$C$2000,MONTH(BB$5+3))=0,"",MAX(1,MIN(5,SUMIFS(Måned!$H$5:$H$2000,Måned!$A$5:$A$2000,$A42,Måned!$C$5:$C$2000,MONTH(BB$5+3))+SUMPRODUCT((Vinduer!$A$5:$A$300=$A42)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2" s="19">
        <f>IF($A42="","",IF(COUNTIFS(Måned!$A$5:$A$2000,$A42,Måned!$C$5:$C$2000,MONTH(BC$5+3))=0,"",MAX(1,MIN(5,SUMIFS(Måned!$H$5:$H$2000,Måned!$A$5:$A$2000,$A42,Måned!$C$5:$C$2000,MONTH(BC$5+3))+SUMPRODUCT((Vinduer!$A$5:$A$300=$A42)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2" s="19">
        <f>IF($A42="","",IF(COUNTIFS(Måned!$A$5:$A$2000,$A42,Måned!$C$5:$C$2000,MONTH(BD$5+3))=0,"",MAX(1,MIN(5,SUMIFS(Måned!$H$5:$H$2000,Måned!$A$5:$A$2000,$A42,Måned!$C$5:$C$2000,MONTH(BD$5+3))+SUMPRODUCT((Vinduer!$A$5:$A$300=$A42)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2" s="19">
        <f>IF($A42="","",IF(COUNTIFS(Måned!$A$5:$A$2000,$A42,Måned!$C$5:$C$2000,MONTH(BE$5+3))=0,"",MAX(1,MIN(5,SUMIFS(Måned!$H$5:$H$2000,Måned!$A$5:$A$2000,$A42,Måned!$C$5:$C$2000,MONTH(BE$5+3))+SUMPRODUCT((Vinduer!$A$5:$A$300=$A42)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3">
      <c r="A43" s="5">
        <f>IF(Destinasjoner!A39="","",Destinasjoner!A39)</f>
        <v/>
      </c>
      <c r="B43" s="5">
        <f>IF(A43="","",Destinasjoner!E39)</f>
        <v/>
      </c>
      <c r="C43" s="5">
        <f>IF(A43="","",Destinasjoner!B39)</f>
        <v/>
      </c>
      <c r="D43" s="17">
        <f>IFERROR(SUMIFS(F43:BE43,$F$7:$BE$7,"x")/COUNTIFS($F$7:$BE$7,"x",F43:BE43,"&gt;0"),"")</f>
        <v/>
      </c>
      <c r="E43" s="18">
        <f>IF(D43="","",_xlfn.MINIFS(F43:BE43,$F$7:$BE$7,"x",F43:BE43,"&gt;0"))</f>
        <v/>
      </c>
      <c r="F43" s="19">
        <f>IF($A43="","",IF(COUNTIFS(Måned!$A$5:$A$2000,$A43,Måned!$C$5:$C$2000,MONTH(F$5+3))=0,"",MAX(1,MIN(5,SUMIFS(Måned!$H$5:$H$2000,Måned!$A$5:$A$2000,$A43,Måned!$C$5:$C$2000,MONTH(F$5+3))+SUMPRODUCT((Vinduer!$A$5:$A$300=$A43)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3" s="19">
        <f>IF($A43="","",IF(COUNTIFS(Måned!$A$5:$A$2000,$A43,Måned!$C$5:$C$2000,MONTH(G$5+3))=0,"",MAX(1,MIN(5,SUMIFS(Måned!$H$5:$H$2000,Måned!$A$5:$A$2000,$A43,Måned!$C$5:$C$2000,MONTH(G$5+3))+SUMPRODUCT((Vinduer!$A$5:$A$300=$A43)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3" s="19">
        <f>IF($A43="","",IF(COUNTIFS(Måned!$A$5:$A$2000,$A43,Måned!$C$5:$C$2000,MONTH(H$5+3))=0,"",MAX(1,MIN(5,SUMIFS(Måned!$H$5:$H$2000,Måned!$A$5:$A$2000,$A43,Måned!$C$5:$C$2000,MONTH(H$5+3))+SUMPRODUCT((Vinduer!$A$5:$A$300=$A43)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3" s="19">
        <f>IF($A43="","",IF(COUNTIFS(Måned!$A$5:$A$2000,$A43,Måned!$C$5:$C$2000,MONTH(I$5+3))=0,"",MAX(1,MIN(5,SUMIFS(Måned!$H$5:$H$2000,Måned!$A$5:$A$2000,$A43,Måned!$C$5:$C$2000,MONTH(I$5+3))+SUMPRODUCT((Vinduer!$A$5:$A$300=$A43)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3" s="19">
        <f>IF($A43="","",IF(COUNTIFS(Måned!$A$5:$A$2000,$A43,Måned!$C$5:$C$2000,MONTH(J$5+3))=0,"",MAX(1,MIN(5,SUMIFS(Måned!$H$5:$H$2000,Måned!$A$5:$A$2000,$A43,Måned!$C$5:$C$2000,MONTH(J$5+3))+SUMPRODUCT((Vinduer!$A$5:$A$300=$A43)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3" s="19">
        <f>IF($A43="","",IF(COUNTIFS(Måned!$A$5:$A$2000,$A43,Måned!$C$5:$C$2000,MONTH(K$5+3))=0,"",MAX(1,MIN(5,SUMIFS(Måned!$H$5:$H$2000,Måned!$A$5:$A$2000,$A43,Måned!$C$5:$C$2000,MONTH(K$5+3))+SUMPRODUCT((Vinduer!$A$5:$A$300=$A43)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3" s="19">
        <f>IF($A43="","",IF(COUNTIFS(Måned!$A$5:$A$2000,$A43,Måned!$C$5:$C$2000,MONTH(L$5+3))=0,"",MAX(1,MIN(5,SUMIFS(Måned!$H$5:$H$2000,Måned!$A$5:$A$2000,$A43,Måned!$C$5:$C$2000,MONTH(L$5+3))+SUMPRODUCT((Vinduer!$A$5:$A$300=$A43)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3" s="19">
        <f>IF($A43="","",IF(COUNTIFS(Måned!$A$5:$A$2000,$A43,Måned!$C$5:$C$2000,MONTH(M$5+3))=0,"",MAX(1,MIN(5,SUMIFS(Måned!$H$5:$H$2000,Måned!$A$5:$A$2000,$A43,Måned!$C$5:$C$2000,MONTH(M$5+3))+SUMPRODUCT((Vinduer!$A$5:$A$300=$A43)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3" s="19">
        <f>IF($A43="","",IF(COUNTIFS(Måned!$A$5:$A$2000,$A43,Måned!$C$5:$C$2000,MONTH(N$5+3))=0,"",MAX(1,MIN(5,SUMIFS(Måned!$H$5:$H$2000,Måned!$A$5:$A$2000,$A43,Måned!$C$5:$C$2000,MONTH(N$5+3))+SUMPRODUCT((Vinduer!$A$5:$A$300=$A43)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3" s="19">
        <f>IF($A43="","",IF(COUNTIFS(Måned!$A$5:$A$2000,$A43,Måned!$C$5:$C$2000,MONTH(O$5+3))=0,"",MAX(1,MIN(5,SUMIFS(Måned!$H$5:$H$2000,Måned!$A$5:$A$2000,$A43,Måned!$C$5:$C$2000,MONTH(O$5+3))+SUMPRODUCT((Vinduer!$A$5:$A$300=$A43)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3" s="19">
        <f>IF($A43="","",IF(COUNTIFS(Måned!$A$5:$A$2000,$A43,Måned!$C$5:$C$2000,MONTH(P$5+3))=0,"",MAX(1,MIN(5,SUMIFS(Måned!$H$5:$H$2000,Måned!$A$5:$A$2000,$A43,Måned!$C$5:$C$2000,MONTH(P$5+3))+SUMPRODUCT((Vinduer!$A$5:$A$300=$A43)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3" s="19">
        <f>IF($A43="","",IF(COUNTIFS(Måned!$A$5:$A$2000,$A43,Måned!$C$5:$C$2000,MONTH(Q$5+3))=0,"",MAX(1,MIN(5,SUMIFS(Måned!$H$5:$H$2000,Måned!$A$5:$A$2000,$A43,Måned!$C$5:$C$2000,MONTH(Q$5+3))+SUMPRODUCT((Vinduer!$A$5:$A$300=$A43)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3" s="19">
        <f>IF($A43="","",IF(COUNTIFS(Måned!$A$5:$A$2000,$A43,Måned!$C$5:$C$2000,MONTH(R$5+3))=0,"",MAX(1,MIN(5,SUMIFS(Måned!$H$5:$H$2000,Måned!$A$5:$A$2000,$A43,Måned!$C$5:$C$2000,MONTH(R$5+3))+SUMPRODUCT((Vinduer!$A$5:$A$300=$A43)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3" s="19">
        <f>IF($A43="","",IF(COUNTIFS(Måned!$A$5:$A$2000,$A43,Måned!$C$5:$C$2000,MONTH(S$5+3))=0,"",MAX(1,MIN(5,SUMIFS(Måned!$H$5:$H$2000,Måned!$A$5:$A$2000,$A43,Måned!$C$5:$C$2000,MONTH(S$5+3))+SUMPRODUCT((Vinduer!$A$5:$A$300=$A43)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3" s="19">
        <f>IF($A43="","",IF(COUNTIFS(Måned!$A$5:$A$2000,$A43,Måned!$C$5:$C$2000,MONTH(T$5+3))=0,"",MAX(1,MIN(5,SUMIFS(Måned!$H$5:$H$2000,Måned!$A$5:$A$2000,$A43,Måned!$C$5:$C$2000,MONTH(T$5+3))+SUMPRODUCT((Vinduer!$A$5:$A$300=$A43)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3" s="19">
        <f>IF($A43="","",IF(COUNTIFS(Måned!$A$5:$A$2000,$A43,Måned!$C$5:$C$2000,MONTH(U$5+3))=0,"",MAX(1,MIN(5,SUMIFS(Måned!$H$5:$H$2000,Måned!$A$5:$A$2000,$A43,Måned!$C$5:$C$2000,MONTH(U$5+3))+SUMPRODUCT((Vinduer!$A$5:$A$300=$A43)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3" s="19">
        <f>IF($A43="","",IF(COUNTIFS(Måned!$A$5:$A$2000,$A43,Måned!$C$5:$C$2000,MONTH(V$5+3))=0,"",MAX(1,MIN(5,SUMIFS(Måned!$H$5:$H$2000,Måned!$A$5:$A$2000,$A43,Måned!$C$5:$C$2000,MONTH(V$5+3))+SUMPRODUCT((Vinduer!$A$5:$A$300=$A43)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3" s="19">
        <f>IF($A43="","",IF(COUNTIFS(Måned!$A$5:$A$2000,$A43,Måned!$C$5:$C$2000,MONTH(W$5+3))=0,"",MAX(1,MIN(5,SUMIFS(Måned!$H$5:$H$2000,Måned!$A$5:$A$2000,$A43,Måned!$C$5:$C$2000,MONTH(W$5+3))+SUMPRODUCT((Vinduer!$A$5:$A$300=$A43)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3" s="19">
        <f>IF($A43="","",IF(COUNTIFS(Måned!$A$5:$A$2000,$A43,Måned!$C$5:$C$2000,MONTH(X$5+3))=0,"",MAX(1,MIN(5,SUMIFS(Måned!$H$5:$H$2000,Måned!$A$5:$A$2000,$A43,Måned!$C$5:$C$2000,MONTH(X$5+3))+SUMPRODUCT((Vinduer!$A$5:$A$300=$A43)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3" s="19">
        <f>IF($A43="","",IF(COUNTIFS(Måned!$A$5:$A$2000,$A43,Måned!$C$5:$C$2000,MONTH(Y$5+3))=0,"",MAX(1,MIN(5,SUMIFS(Måned!$H$5:$H$2000,Måned!$A$5:$A$2000,$A43,Måned!$C$5:$C$2000,MONTH(Y$5+3))+SUMPRODUCT((Vinduer!$A$5:$A$300=$A43)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3" s="19">
        <f>IF($A43="","",IF(COUNTIFS(Måned!$A$5:$A$2000,$A43,Måned!$C$5:$C$2000,MONTH(Z$5+3))=0,"",MAX(1,MIN(5,SUMIFS(Måned!$H$5:$H$2000,Måned!$A$5:$A$2000,$A43,Måned!$C$5:$C$2000,MONTH(Z$5+3))+SUMPRODUCT((Vinduer!$A$5:$A$300=$A43)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3" s="19">
        <f>IF($A43="","",IF(COUNTIFS(Måned!$A$5:$A$2000,$A43,Måned!$C$5:$C$2000,MONTH(AA$5+3))=0,"",MAX(1,MIN(5,SUMIFS(Måned!$H$5:$H$2000,Måned!$A$5:$A$2000,$A43,Måned!$C$5:$C$2000,MONTH(AA$5+3))+SUMPRODUCT((Vinduer!$A$5:$A$300=$A43)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3" s="19">
        <f>IF($A43="","",IF(COUNTIFS(Måned!$A$5:$A$2000,$A43,Måned!$C$5:$C$2000,MONTH(AB$5+3))=0,"",MAX(1,MIN(5,SUMIFS(Måned!$H$5:$H$2000,Måned!$A$5:$A$2000,$A43,Måned!$C$5:$C$2000,MONTH(AB$5+3))+SUMPRODUCT((Vinduer!$A$5:$A$300=$A43)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3" s="19">
        <f>IF($A43="","",IF(COUNTIFS(Måned!$A$5:$A$2000,$A43,Måned!$C$5:$C$2000,MONTH(AC$5+3))=0,"",MAX(1,MIN(5,SUMIFS(Måned!$H$5:$H$2000,Måned!$A$5:$A$2000,$A43,Måned!$C$5:$C$2000,MONTH(AC$5+3))+SUMPRODUCT((Vinduer!$A$5:$A$300=$A43)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3" s="19">
        <f>IF($A43="","",IF(COUNTIFS(Måned!$A$5:$A$2000,$A43,Måned!$C$5:$C$2000,MONTH(AD$5+3))=0,"",MAX(1,MIN(5,SUMIFS(Måned!$H$5:$H$2000,Måned!$A$5:$A$2000,$A43,Måned!$C$5:$C$2000,MONTH(AD$5+3))+SUMPRODUCT((Vinduer!$A$5:$A$300=$A43)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3" s="19">
        <f>IF($A43="","",IF(COUNTIFS(Måned!$A$5:$A$2000,$A43,Måned!$C$5:$C$2000,MONTH(AE$5+3))=0,"",MAX(1,MIN(5,SUMIFS(Måned!$H$5:$H$2000,Måned!$A$5:$A$2000,$A43,Måned!$C$5:$C$2000,MONTH(AE$5+3))+SUMPRODUCT((Vinduer!$A$5:$A$300=$A43)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3" s="19">
        <f>IF($A43="","",IF(COUNTIFS(Måned!$A$5:$A$2000,$A43,Måned!$C$5:$C$2000,MONTH(AF$5+3))=0,"",MAX(1,MIN(5,SUMIFS(Måned!$H$5:$H$2000,Måned!$A$5:$A$2000,$A43,Måned!$C$5:$C$2000,MONTH(AF$5+3))+SUMPRODUCT((Vinduer!$A$5:$A$300=$A43)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3" s="19">
        <f>IF($A43="","",IF(COUNTIFS(Måned!$A$5:$A$2000,$A43,Måned!$C$5:$C$2000,MONTH(AG$5+3))=0,"",MAX(1,MIN(5,SUMIFS(Måned!$H$5:$H$2000,Måned!$A$5:$A$2000,$A43,Måned!$C$5:$C$2000,MONTH(AG$5+3))+SUMPRODUCT((Vinduer!$A$5:$A$300=$A43)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3" s="19">
        <f>IF($A43="","",IF(COUNTIFS(Måned!$A$5:$A$2000,$A43,Måned!$C$5:$C$2000,MONTH(AH$5+3))=0,"",MAX(1,MIN(5,SUMIFS(Måned!$H$5:$H$2000,Måned!$A$5:$A$2000,$A43,Måned!$C$5:$C$2000,MONTH(AH$5+3))+SUMPRODUCT((Vinduer!$A$5:$A$300=$A43)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3" s="19">
        <f>IF($A43="","",IF(COUNTIFS(Måned!$A$5:$A$2000,$A43,Måned!$C$5:$C$2000,MONTH(AI$5+3))=0,"",MAX(1,MIN(5,SUMIFS(Måned!$H$5:$H$2000,Måned!$A$5:$A$2000,$A43,Måned!$C$5:$C$2000,MONTH(AI$5+3))+SUMPRODUCT((Vinduer!$A$5:$A$300=$A43)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3" s="19">
        <f>IF($A43="","",IF(COUNTIFS(Måned!$A$5:$A$2000,$A43,Måned!$C$5:$C$2000,MONTH(AJ$5+3))=0,"",MAX(1,MIN(5,SUMIFS(Måned!$H$5:$H$2000,Måned!$A$5:$A$2000,$A43,Måned!$C$5:$C$2000,MONTH(AJ$5+3))+SUMPRODUCT((Vinduer!$A$5:$A$300=$A43)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3" s="19">
        <f>IF($A43="","",IF(COUNTIFS(Måned!$A$5:$A$2000,$A43,Måned!$C$5:$C$2000,MONTH(AK$5+3))=0,"",MAX(1,MIN(5,SUMIFS(Måned!$H$5:$H$2000,Måned!$A$5:$A$2000,$A43,Måned!$C$5:$C$2000,MONTH(AK$5+3))+SUMPRODUCT((Vinduer!$A$5:$A$300=$A43)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3" s="19">
        <f>IF($A43="","",IF(COUNTIFS(Måned!$A$5:$A$2000,$A43,Måned!$C$5:$C$2000,MONTH(AL$5+3))=0,"",MAX(1,MIN(5,SUMIFS(Måned!$H$5:$H$2000,Måned!$A$5:$A$2000,$A43,Måned!$C$5:$C$2000,MONTH(AL$5+3))+SUMPRODUCT((Vinduer!$A$5:$A$300=$A43)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3" s="19">
        <f>IF($A43="","",IF(COUNTIFS(Måned!$A$5:$A$2000,$A43,Måned!$C$5:$C$2000,MONTH(AM$5+3))=0,"",MAX(1,MIN(5,SUMIFS(Måned!$H$5:$H$2000,Måned!$A$5:$A$2000,$A43,Måned!$C$5:$C$2000,MONTH(AM$5+3))+SUMPRODUCT((Vinduer!$A$5:$A$300=$A43)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3" s="19">
        <f>IF($A43="","",IF(COUNTIFS(Måned!$A$5:$A$2000,$A43,Måned!$C$5:$C$2000,MONTH(AN$5+3))=0,"",MAX(1,MIN(5,SUMIFS(Måned!$H$5:$H$2000,Måned!$A$5:$A$2000,$A43,Måned!$C$5:$C$2000,MONTH(AN$5+3))+SUMPRODUCT((Vinduer!$A$5:$A$300=$A43)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3" s="19">
        <f>IF($A43="","",IF(COUNTIFS(Måned!$A$5:$A$2000,$A43,Måned!$C$5:$C$2000,MONTH(AO$5+3))=0,"",MAX(1,MIN(5,SUMIFS(Måned!$H$5:$H$2000,Måned!$A$5:$A$2000,$A43,Måned!$C$5:$C$2000,MONTH(AO$5+3))+SUMPRODUCT((Vinduer!$A$5:$A$300=$A43)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3" s="19">
        <f>IF($A43="","",IF(COUNTIFS(Måned!$A$5:$A$2000,$A43,Måned!$C$5:$C$2000,MONTH(AP$5+3))=0,"",MAX(1,MIN(5,SUMIFS(Måned!$H$5:$H$2000,Måned!$A$5:$A$2000,$A43,Måned!$C$5:$C$2000,MONTH(AP$5+3))+SUMPRODUCT((Vinduer!$A$5:$A$300=$A43)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3" s="19">
        <f>IF($A43="","",IF(COUNTIFS(Måned!$A$5:$A$2000,$A43,Måned!$C$5:$C$2000,MONTH(AQ$5+3))=0,"",MAX(1,MIN(5,SUMIFS(Måned!$H$5:$H$2000,Måned!$A$5:$A$2000,$A43,Måned!$C$5:$C$2000,MONTH(AQ$5+3))+SUMPRODUCT((Vinduer!$A$5:$A$300=$A43)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3" s="19">
        <f>IF($A43="","",IF(COUNTIFS(Måned!$A$5:$A$2000,$A43,Måned!$C$5:$C$2000,MONTH(AR$5+3))=0,"",MAX(1,MIN(5,SUMIFS(Måned!$H$5:$H$2000,Måned!$A$5:$A$2000,$A43,Måned!$C$5:$C$2000,MONTH(AR$5+3))+SUMPRODUCT((Vinduer!$A$5:$A$300=$A43)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3" s="19">
        <f>IF($A43="","",IF(COUNTIFS(Måned!$A$5:$A$2000,$A43,Måned!$C$5:$C$2000,MONTH(AS$5+3))=0,"",MAX(1,MIN(5,SUMIFS(Måned!$H$5:$H$2000,Måned!$A$5:$A$2000,$A43,Måned!$C$5:$C$2000,MONTH(AS$5+3))+SUMPRODUCT((Vinduer!$A$5:$A$300=$A43)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3" s="19">
        <f>IF($A43="","",IF(COUNTIFS(Måned!$A$5:$A$2000,$A43,Måned!$C$5:$C$2000,MONTH(AT$5+3))=0,"",MAX(1,MIN(5,SUMIFS(Måned!$H$5:$H$2000,Måned!$A$5:$A$2000,$A43,Måned!$C$5:$C$2000,MONTH(AT$5+3))+SUMPRODUCT((Vinduer!$A$5:$A$300=$A43)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3" s="19">
        <f>IF($A43="","",IF(COUNTIFS(Måned!$A$5:$A$2000,$A43,Måned!$C$5:$C$2000,MONTH(AU$5+3))=0,"",MAX(1,MIN(5,SUMIFS(Måned!$H$5:$H$2000,Måned!$A$5:$A$2000,$A43,Måned!$C$5:$C$2000,MONTH(AU$5+3))+SUMPRODUCT((Vinduer!$A$5:$A$300=$A43)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3" s="19">
        <f>IF($A43="","",IF(COUNTIFS(Måned!$A$5:$A$2000,$A43,Måned!$C$5:$C$2000,MONTH(AV$5+3))=0,"",MAX(1,MIN(5,SUMIFS(Måned!$H$5:$H$2000,Måned!$A$5:$A$2000,$A43,Måned!$C$5:$C$2000,MONTH(AV$5+3))+SUMPRODUCT((Vinduer!$A$5:$A$300=$A43)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3" s="19">
        <f>IF($A43="","",IF(COUNTIFS(Måned!$A$5:$A$2000,$A43,Måned!$C$5:$C$2000,MONTH(AW$5+3))=0,"",MAX(1,MIN(5,SUMIFS(Måned!$H$5:$H$2000,Måned!$A$5:$A$2000,$A43,Måned!$C$5:$C$2000,MONTH(AW$5+3))+SUMPRODUCT((Vinduer!$A$5:$A$300=$A43)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3" s="19">
        <f>IF($A43="","",IF(COUNTIFS(Måned!$A$5:$A$2000,$A43,Måned!$C$5:$C$2000,MONTH(AX$5+3))=0,"",MAX(1,MIN(5,SUMIFS(Måned!$H$5:$H$2000,Måned!$A$5:$A$2000,$A43,Måned!$C$5:$C$2000,MONTH(AX$5+3))+SUMPRODUCT((Vinduer!$A$5:$A$300=$A43)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3" s="19">
        <f>IF($A43="","",IF(COUNTIFS(Måned!$A$5:$A$2000,$A43,Måned!$C$5:$C$2000,MONTH(AY$5+3))=0,"",MAX(1,MIN(5,SUMIFS(Måned!$H$5:$H$2000,Måned!$A$5:$A$2000,$A43,Måned!$C$5:$C$2000,MONTH(AY$5+3))+SUMPRODUCT((Vinduer!$A$5:$A$300=$A43)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3" s="19">
        <f>IF($A43="","",IF(COUNTIFS(Måned!$A$5:$A$2000,$A43,Måned!$C$5:$C$2000,MONTH(AZ$5+3))=0,"",MAX(1,MIN(5,SUMIFS(Måned!$H$5:$H$2000,Måned!$A$5:$A$2000,$A43,Måned!$C$5:$C$2000,MONTH(AZ$5+3))+SUMPRODUCT((Vinduer!$A$5:$A$300=$A43)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3" s="19">
        <f>IF($A43="","",IF(COUNTIFS(Måned!$A$5:$A$2000,$A43,Måned!$C$5:$C$2000,MONTH(BA$5+3))=0,"",MAX(1,MIN(5,SUMIFS(Måned!$H$5:$H$2000,Måned!$A$5:$A$2000,$A43,Måned!$C$5:$C$2000,MONTH(BA$5+3))+SUMPRODUCT((Vinduer!$A$5:$A$300=$A43)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3" s="19">
        <f>IF($A43="","",IF(COUNTIFS(Måned!$A$5:$A$2000,$A43,Måned!$C$5:$C$2000,MONTH(BB$5+3))=0,"",MAX(1,MIN(5,SUMIFS(Måned!$H$5:$H$2000,Måned!$A$5:$A$2000,$A43,Måned!$C$5:$C$2000,MONTH(BB$5+3))+SUMPRODUCT((Vinduer!$A$5:$A$300=$A43)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3" s="19">
        <f>IF($A43="","",IF(COUNTIFS(Måned!$A$5:$A$2000,$A43,Måned!$C$5:$C$2000,MONTH(BC$5+3))=0,"",MAX(1,MIN(5,SUMIFS(Måned!$H$5:$H$2000,Måned!$A$5:$A$2000,$A43,Måned!$C$5:$C$2000,MONTH(BC$5+3))+SUMPRODUCT((Vinduer!$A$5:$A$300=$A43)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3" s="19">
        <f>IF($A43="","",IF(COUNTIFS(Måned!$A$5:$A$2000,$A43,Måned!$C$5:$C$2000,MONTH(BD$5+3))=0,"",MAX(1,MIN(5,SUMIFS(Måned!$H$5:$H$2000,Måned!$A$5:$A$2000,$A43,Måned!$C$5:$C$2000,MONTH(BD$5+3))+SUMPRODUCT((Vinduer!$A$5:$A$300=$A43)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3" s="19">
        <f>IF($A43="","",IF(COUNTIFS(Måned!$A$5:$A$2000,$A43,Måned!$C$5:$C$2000,MONTH(BE$5+3))=0,"",MAX(1,MIN(5,SUMIFS(Måned!$H$5:$H$2000,Måned!$A$5:$A$2000,$A43,Måned!$C$5:$C$2000,MONTH(BE$5+3))+SUMPRODUCT((Vinduer!$A$5:$A$300=$A43)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4">
      <c r="A44" s="5">
        <f>IF(Destinasjoner!A40="","",Destinasjoner!A40)</f>
        <v/>
      </c>
      <c r="B44" s="5">
        <f>IF(A44="","",Destinasjoner!E40)</f>
        <v/>
      </c>
      <c r="C44" s="5">
        <f>IF(A44="","",Destinasjoner!B40)</f>
        <v/>
      </c>
      <c r="D44" s="17">
        <f>IFERROR(SUMIFS(F44:BE44,$F$7:$BE$7,"x")/COUNTIFS($F$7:$BE$7,"x",F44:BE44,"&gt;0"),"")</f>
        <v/>
      </c>
      <c r="E44" s="18">
        <f>IF(D44="","",_xlfn.MINIFS(F44:BE44,$F$7:$BE$7,"x",F44:BE44,"&gt;0"))</f>
        <v/>
      </c>
      <c r="F44" s="19">
        <f>IF($A44="","",IF(COUNTIFS(Måned!$A$5:$A$2000,$A44,Måned!$C$5:$C$2000,MONTH(F$5+3))=0,"",MAX(1,MIN(5,SUMIFS(Måned!$H$5:$H$2000,Måned!$A$5:$A$2000,$A44,Måned!$C$5:$C$2000,MONTH(F$5+3))+SUMPRODUCT((Vinduer!$A$5:$A$300=$A44)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4" s="19">
        <f>IF($A44="","",IF(COUNTIFS(Måned!$A$5:$A$2000,$A44,Måned!$C$5:$C$2000,MONTH(G$5+3))=0,"",MAX(1,MIN(5,SUMIFS(Måned!$H$5:$H$2000,Måned!$A$5:$A$2000,$A44,Måned!$C$5:$C$2000,MONTH(G$5+3))+SUMPRODUCT((Vinduer!$A$5:$A$300=$A44)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4" s="19">
        <f>IF($A44="","",IF(COUNTIFS(Måned!$A$5:$A$2000,$A44,Måned!$C$5:$C$2000,MONTH(H$5+3))=0,"",MAX(1,MIN(5,SUMIFS(Måned!$H$5:$H$2000,Måned!$A$5:$A$2000,$A44,Måned!$C$5:$C$2000,MONTH(H$5+3))+SUMPRODUCT((Vinduer!$A$5:$A$300=$A44)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4" s="19">
        <f>IF($A44="","",IF(COUNTIFS(Måned!$A$5:$A$2000,$A44,Måned!$C$5:$C$2000,MONTH(I$5+3))=0,"",MAX(1,MIN(5,SUMIFS(Måned!$H$5:$H$2000,Måned!$A$5:$A$2000,$A44,Måned!$C$5:$C$2000,MONTH(I$5+3))+SUMPRODUCT((Vinduer!$A$5:$A$300=$A44)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4" s="19">
        <f>IF($A44="","",IF(COUNTIFS(Måned!$A$5:$A$2000,$A44,Måned!$C$5:$C$2000,MONTH(J$5+3))=0,"",MAX(1,MIN(5,SUMIFS(Måned!$H$5:$H$2000,Måned!$A$5:$A$2000,$A44,Måned!$C$5:$C$2000,MONTH(J$5+3))+SUMPRODUCT((Vinduer!$A$5:$A$300=$A44)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4" s="19">
        <f>IF($A44="","",IF(COUNTIFS(Måned!$A$5:$A$2000,$A44,Måned!$C$5:$C$2000,MONTH(K$5+3))=0,"",MAX(1,MIN(5,SUMIFS(Måned!$H$5:$H$2000,Måned!$A$5:$A$2000,$A44,Måned!$C$5:$C$2000,MONTH(K$5+3))+SUMPRODUCT((Vinduer!$A$5:$A$300=$A44)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4" s="19">
        <f>IF($A44="","",IF(COUNTIFS(Måned!$A$5:$A$2000,$A44,Måned!$C$5:$C$2000,MONTH(L$5+3))=0,"",MAX(1,MIN(5,SUMIFS(Måned!$H$5:$H$2000,Måned!$A$5:$A$2000,$A44,Måned!$C$5:$C$2000,MONTH(L$5+3))+SUMPRODUCT((Vinduer!$A$5:$A$300=$A44)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4" s="19">
        <f>IF($A44="","",IF(COUNTIFS(Måned!$A$5:$A$2000,$A44,Måned!$C$5:$C$2000,MONTH(M$5+3))=0,"",MAX(1,MIN(5,SUMIFS(Måned!$H$5:$H$2000,Måned!$A$5:$A$2000,$A44,Måned!$C$5:$C$2000,MONTH(M$5+3))+SUMPRODUCT((Vinduer!$A$5:$A$300=$A44)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4" s="19">
        <f>IF($A44="","",IF(COUNTIFS(Måned!$A$5:$A$2000,$A44,Måned!$C$5:$C$2000,MONTH(N$5+3))=0,"",MAX(1,MIN(5,SUMIFS(Måned!$H$5:$H$2000,Måned!$A$5:$A$2000,$A44,Måned!$C$5:$C$2000,MONTH(N$5+3))+SUMPRODUCT((Vinduer!$A$5:$A$300=$A44)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4" s="19">
        <f>IF($A44="","",IF(COUNTIFS(Måned!$A$5:$A$2000,$A44,Måned!$C$5:$C$2000,MONTH(O$5+3))=0,"",MAX(1,MIN(5,SUMIFS(Måned!$H$5:$H$2000,Måned!$A$5:$A$2000,$A44,Måned!$C$5:$C$2000,MONTH(O$5+3))+SUMPRODUCT((Vinduer!$A$5:$A$300=$A44)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4" s="19">
        <f>IF($A44="","",IF(COUNTIFS(Måned!$A$5:$A$2000,$A44,Måned!$C$5:$C$2000,MONTH(P$5+3))=0,"",MAX(1,MIN(5,SUMIFS(Måned!$H$5:$H$2000,Måned!$A$5:$A$2000,$A44,Måned!$C$5:$C$2000,MONTH(P$5+3))+SUMPRODUCT((Vinduer!$A$5:$A$300=$A44)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4" s="19">
        <f>IF($A44="","",IF(COUNTIFS(Måned!$A$5:$A$2000,$A44,Måned!$C$5:$C$2000,MONTH(Q$5+3))=0,"",MAX(1,MIN(5,SUMIFS(Måned!$H$5:$H$2000,Måned!$A$5:$A$2000,$A44,Måned!$C$5:$C$2000,MONTH(Q$5+3))+SUMPRODUCT((Vinduer!$A$5:$A$300=$A44)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4" s="19">
        <f>IF($A44="","",IF(COUNTIFS(Måned!$A$5:$A$2000,$A44,Måned!$C$5:$C$2000,MONTH(R$5+3))=0,"",MAX(1,MIN(5,SUMIFS(Måned!$H$5:$H$2000,Måned!$A$5:$A$2000,$A44,Måned!$C$5:$C$2000,MONTH(R$5+3))+SUMPRODUCT((Vinduer!$A$5:$A$300=$A44)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4" s="19">
        <f>IF($A44="","",IF(COUNTIFS(Måned!$A$5:$A$2000,$A44,Måned!$C$5:$C$2000,MONTH(S$5+3))=0,"",MAX(1,MIN(5,SUMIFS(Måned!$H$5:$H$2000,Måned!$A$5:$A$2000,$A44,Måned!$C$5:$C$2000,MONTH(S$5+3))+SUMPRODUCT((Vinduer!$A$5:$A$300=$A44)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4" s="19">
        <f>IF($A44="","",IF(COUNTIFS(Måned!$A$5:$A$2000,$A44,Måned!$C$5:$C$2000,MONTH(T$5+3))=0,"",MAX(1,MIN(5,SUMIFS(Måned!$H$5:$H$2000,Måned!$A$5:$A$2000,$A44,Måned!$C$5:$C$2000,MONTH(T$5+3))+SUMPRODUCT((Vinduer!$A$5:$A$300=$A44)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4" s="19">
        <f>IF($A44="","",IF(COUNTIFS(Måned!$A$5:$A$2000,$A44,Måned!$C$5:$C$2000,MONTH(U$5+3))=0,"",MAX(1,MIN(5,SUMIFS(Måned!$H$5:$H$2000,Måned!$A$5:$A$2000,$A44,Måned!$C$5:$C$2000,MONTH(U$5+3))+SUMPRODUCT((Vinduer!$A$5:$A$300=$A44)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4" s="19">
        <f>IF($A44="","",IF(COUNTIFS(Måned!$A$5:$A$2000,$A44,Måned!$C$5:$C$2000,MONTH(V$5+3))=0,"",MAX(1,MIN(5,SUMIFS(Måned!$H$5:$H$2000,Måned!$A$5:$A$2000,$A44,Måned!$C$5:$C$2000,MONTH(V$5+3))+SUMPRODUCT((Vinduer!$A$5:$A$300=$A44)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4" s="19">
        <f>IF($A44="","",IF(COUNTIFS(Måned!$A$5:$A$2000,$A44,Måned!$C$5:$C$2000,MONTH(W$5+3))=0,"",MAX(1,MIN(5,SUMIFS(Måned!$H$5:$H$2000,Måned!$A$5:$A$2000,$A44,Måned!$C$5:$C$2000,MONTH(W$5+3))+SUMPRODUCT((Vinduer!$A$5:$A$300=$A44)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4" s="19">
        <f>IF($A44="","",IF(COUNTIFS(Måned!$A$5:$A$2000,$A44,Måned!$C$5:$C$2000,MONTH(X$5+3))=0,"",MAX(1,MIN(5,SUMIFS(Måned!$H$5:$H$2000,Måned!$A$5:$A$2000,$A44,Måned!$C$5:$C$2000,MONTH(X$5+3))+SUMPRODUCT((Vinduer!$A$5:$A$300=$A44)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4" s="19">
        <f>IF($A44="","",IF(COUNTIFS(Måned!$A$5:$A$2000,$A44,Måned!$C$5:$C$2000,MONTH(Y$5+3))=0,"",MAX(1,MIN(5,SUMIFS(Måned!$H$5:$H$2000,Måned!$A$5:$A$2000,$A44,Måned!$C$5:$C$2000,MONTH(Y$5+3))+SUMPRODUCT((Vinduer!$A$5:$A$300=$A44)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4" s="19">
        <f>IF($A44="","",IF(COUNTIFS(Måned!$A$5:$A$2000,$A44,Måned!$C$5:$C$2000,MONTH(Z$5+3))=0,"",MAX(1,MIN(5,SUMIFS(Måned!$H$5:$H$2000,Måned!$A$5:$A$2000,$A44,Måned!$C$5:$C$2000,MONTH(Z$5+3))+SUMPRODUCT((Vinduer!$A$5:$A$300=$A44)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4" s="19">
        <f>IF($A44="","",IF(COUNTIFS(Måned!$A$5:$A$2000,$A44,Måned!$C$5:$C$2000,MONTH(AA$5+3))=0,"",MAX(1,MIN(5,SUMIFS(Måned!$H$5:$H$2000,Måned!$A$5:$A$2000,$A44,Måned!$C$5:$C$2000,MONTH(AA$5+3))+SUMPRODUCT((Vinduer!$A$5:$A$300=$A44)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4" s="19">
        <f>IF($A44="","",IF(COUNTIFS(Måned!$A$5:$A$2000,$A44,Måned!$C$5:$C$2000,MONTH(AB$5+3))=0,"",MAX(1,MIN(5,SUMIFS(Måned!$H$5:$H$2000,Måned!$A$5:$A$2000,$A44,Måned!$C$5:$C$2000,MONTH(AB$5+3))+SUMPRODUCT((Vinduer!$A$5:$A$300=$A44)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4" s="19">
        <f>IF($A44="","",IF(COUNTIFS(Måned!$A$5:$A$2000,$A44,Måned!$C$5:$C$2000,MONTH(AC$5+3))=0,"",MAX(1,MIN(5,SUMIFS(Måned!$H$5:$H$2000,Måned!$A$5:$A$2000,$A44,Måned!$C$5:$C$2000,MONTH(AC$5+3))+SUMPRODUCT((Vinduer!$A$5:$A$300=$A44)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4" s="19">
        <f>IF($A44="","",IF(COUNTIFS(Måned!$A$5:$A$2000,$A44,Måned!$C$5:$C$2000,MONTH(AD$5+3))=0,"",MAX(1,MIN(5,SUMIFS(Måned!$H$5:$H$2000,Måned!$A$5:$A$2000,$A44,Måned!$C$5:$C$2000,MONTH(AD$5+3))+SUMPRODUCT((Vinduer!$A$5:$A$300=$A44)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4" s="19">
        <f>IF($A44="","",IF(COUNTIFS(Måned!$A$5:$A$2000,$A44,Måned!$C$5:$C$2000,MONTH(AE$5+3))=0,"",MAX(1,MIN(5,SUMIFS(Måned!$H$5:$H$2000,Måned!$A$5:$A$2000,$A44,Måned!$C$5:$C$2000,MONTH(AE$5+3))+SUMPRODUCT((Vinduer!$A$5:$A$300=$A44)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4" s="19">
        <f>IF($A44="","",IF(COUNTIFS(Måned!$A$5:$A$2000,$A44,Måned!$C$5:$C$2000,MONTH(AF$5+3))=0,"",MAX(1,MIN(5,SUMIFS(Måned!$H$5:$H$2000,Måned!$A$5:$A$2000,$A44,Måned!$C$5:$C$2000,MONTH(AF$5+3))+SUMPRODUCT((Vinduer!$A$5:$A$300=$A44)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4" s="19">
        <f>IF($A44="","",IF(COUNTIFS(Måned!$A$5:$A$2000,$A44,Måned!$C$5:$C$2000,MONTH(AG$5+3))=0,"",MAX(1,MIN(5,SUMIFS(Måned!$H$5:$H$2000,Måned!$A$5:$A$2000,$A44,Måned!$C$5:$C$2000,MONTH(AG$5+3))+SUMPRODUCT((Vinduer!$A$5:$A$300=$A44)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4" s="19">
        <f>IF($A44="","",IF(COUNTIFS(Måned!$A$5:$A$2000,$A44,Måned!$C$5:$C$2000,MONTH(AH$5+3))=0,"",MAX(1,MIN(5,SUMIFS(Måned!$H$5:$H$2000,Måned!$A$5:$A$2000,$A44,Måned!$C$5:$C$2000,MONTH(AH$5+3))+SUMPRODUCT((Vinduer!$A$5:$A$300=$A44)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4" s="19">
        <f>IF($A44="","",IF(COUNTIFS(Måned!$A$5:$A$2000,$A44,Måned!$C$5:$C$2000,MONTH(AI$5+3))=0,"",MAX(1,MIN(5,SUMIFS(Måned!$H$5:$H$2000,Måned!$A$5:$A$2000,$A44,Måned!$C$5:$C$2000,MONTH(AI$5+3))+SUMPRODUCT((Vinduer!$A$5:$A$300=$A44)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4" s="19">
        <f>IF($A44="","",IF(COUNTIFS(Måned!$A$5:$A$2000,$A44,Måned!$C$5:$C$2000,MONTH(AJ$5+3))=0,"",MAX(1,MIN(5,SUMIFS(Måned!$H$5:$H$2000,Måned!$A$5:$A$2000,$A44,Måned!$C$5:$C$2000,MONTH(AJ$5+3))+SUMPRODUCT((Vinduer!$A$5:$A$300=$A44)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4" s="19">
        <f>IF($A44="","",IF(COUNTIFS(Måned!$A$5:$A$2000,$A44,Måned!$C$5:$C$2000,MONTH(AK$5+3))=0,"",MAX(1,MIN(5,SUMIFS(Måned!$H$5:$H$2000,Måned!$A$5:$A$2000,$A44,Måned!$C$5:$C$2000,MONTH(AK$5+3))+SUMPRODUCT((Vinduer!$A$5:$A$300=$A44)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4" s="19">
        <f>IF($A44="","",IF(COUNTIFS(Måned!$A$5:$A$2000,$A44,Måned!$C$5:$C$2000,MONTH(AL$5+3))=0,"",MAX(1,MIN(5,SUMIFS(Måned!$H$5:$H$2000,Måned!$A$5:$A$2000,$A44,Måned!$C$5:$C$2000,MONTH(AL$5+3))+SUMPRODUCT((Vinduer!$A$5:$A$300=$A44)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4" s="19">
        <f>IF($A44="","",IF(COUNTIFS(Måned!$A$5:$A$2000,$A44,Måned!$C$5:$C$2000,MONTH(AM$5+3))=0,"",MAX(1,MIN(5,SUMIFS(Måned!$H$5:$H$2000,Måned!$A$5:$A$2000,$A44,Måned!$C$5:$C$2000,MONTH(AM$5+3))+SUMPRODUCT((Vinduer!$A$5:$A$300=$A44)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4" s="19">
        <f>IF($A44="","",IF(COUNTIFS(Måned!$A$5:$A$2000,$A44,Måned!$C$5:$C$2000,MONTH(AN$5+3))=0,"",MAX(1,MIN(5,SUMIFS(Måned!$H$5:$H$2000,Måned!$A$5:$A$2000,$A44,Måned!$C$5:$C$2000,MONTH(AN$5+3))+SUMPRODUCT((Vinduer!$A$5:$A$300=$A44)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4" s="19">
        <f>IF($A44="","",IF(COUNTIFS(Måned!$A$5:$A$2000,$A44,Måned!$C$5:$C$2000,MONTH(AO$5+3))=0,"",MAX(1,MIN(5,SUMIFS(Måned!$H$5:$H$2000,Måned!$A$5:$A$2000,$A44,Måned!$C$5:$C$2000,MONTH(AO$5+3))+SUMPRODUCT((Vinduer!$A$5:$A$300=$A44)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4" s="19">
        <f>IF($A44="","",IF(COUNTIFS(Måned!$A$5:$A$2000,$A44,Måned!$C$5:$C$2000,MONTH(AP$5+3))=0,"",MAX(1,MIN(5,SUMIFS(Måned!$H$5:$H$2000,Måned!$A$5:$A$2000,$A44,Måned!$C$5:$C$2000,MONTH(AP$5+3))+SUMPRODUCT((Vinduer!$A$5:$A$300=$A44)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4" s="19">
        <f>IF($A44="","",IF(COUNTIFS(Måned!$A$5:$A$2000,$A44,Måned!$C$5:$C$2000,MONTH(AQ$5+3))=0,"",MAX(1,MIN(5,SUMIFS(Måned!$H$5:$H$2000,Måned!$A$5:$A$2000,$A44,Måned!$C$5:$C$2000,MONTH(AQ$5+3))+SUMPRODUCT((Vinduer!$A$5:$A$300=$A44)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4" s="19">
        <f>IF($A44="","",IF(COUNTIFS(Måned!$A$5:$A$2000,$A44,Måned!$C$5:$C$2000,MONTH(AR$5+3))=0,"",MAX(1,MIN(5,SUMIFS(Måned!$H$5:$H$2000,Måned!$A$5:$A$2000,$A44,Måned!$C$5:$C$2000,MONTH(AR$5+3))+SUMPRODUCT((Vinduer!$A$5:$A$300=$A44)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4" s="19">
        <f>IF($A44="","",IF(COUNTIFS(Måned!$A$5:$A$2000,$A44,Måned!$C$5:$C$2000,MONTH(AS$5+3))=0,"",MAX(1,MIN(5,SUMIFS(Måned!$H$5:$H$2000,Måned!$A$5:$A$2000,$A44,Måned!$C$5:$C$2000,MONTH(AS$5+3))+SUMPRODUCT((Vinduer!$A$5:$A$300=$A44)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4" s="19">
        <f>IF($A44="","",IF(COUNTIFS(Måned!$A$5:$A$2000,$A44,Måned!$C$5:$C$2000,MONTH(AT$5+3))=0,"",MAX(1,MIN(5,SUMIFS(Måned!$H$5:$H$2000,Måned!$A$5:$A$2000,$A44,Måned!$C$5:$C$2000,MONTH(AT$5+3))+SUMPRODUCT((Vinduer!$A$5:$A$300=$A44)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4" s="19">
        <f>IF($A44="","",IF(COUNTIFS(Måned!$A$5:$A$2000,$A44,Måned!$C$5:$C$2000,MONTH(AU$5+3))=0,"",MAX(1,MIN(5,SUMIFS(Måned!$H$5:$H$2000,Måned!$A$5:$A$2000,$A44,Måned!$C$5:$C$2000,MONTH(AU$5+3))+SUMPRODUCT((Vinduer!$A$5:$A$300=$A44)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4" s="19">
        <f>IF($A44="","",IF(COUNTIFS(Måned!$A$5:$A$2000,$A44,Måned!$C$5:$C$2000,MONTH(AV$5+3))=0,"",MAX(1,MIN(5,SUMIFS(Måned!$H$5:$H$2000,Måned!$A$5:$A$2000,$A44,Måned!$C$5:$C$2000,MONTH(AV$5+3))+SUMPRODUCT((Vinduer!$A$5:$A$300=$A44)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4" s="19">
        <f>IF($A44="","",IF(COUNTIFS(Måned!$A$5:$A$2000,$A44,Måned!$C$5:$C$2000,MONTH(AW$5+3))=0,"",MAX(1,MIN(5,SUMIFS(Måned!$H$5:$H$2000,Måned!$A$5:$A$2000,$A44,Måned!$C$5:$C$2000,MONTH(AW$5+3))+SUMPRODUCT((Vinduer!$A$5:$A$300=$A44)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4" s="19">
        <f>IF($A44="","",IF(COUNTIFS(Måned!$A$5:$A$2000,$A44,Måned!$C$5:$C$2000,MONTH(AX$5+3))=0,"",MAX(1,MIN(5,SUMIFS(Måned!$H$5:$H$2000,Måned!$A$5:$A$2000,$A44,Måned!$C$5:$C$2000,MONTH(AX$5+3))+SUMPRODUCT((Vinduer!$A$5:$A$300=$A44)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4" s="19">
        <f>IF($A44="","",IF(COUNTIFS(Måned!$A$5:$A$2000,$A44,Måned!$C$5:$C$2000,MONTH(AY$5+3))=0,"",MAX(1,MIN(5,SUMIFS(Måned!$H$5:$H$2000,Måned!$A$5:$A$2000,$A44,Måned!$C$5:$C$2000,MONTH(AY$5+3))+SUMPRODUCT((Vinduer!$A$5:$A$300=$A44)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4" s="19">
        <f>IF($A44="","",IF(COUNTIFS(Måned!$A$5:$A$2000,$A44,Måned!$C$5:$C$2000,MONTH(AZ$5+3))=0,"",MAX(1,MIN(5,SUMIFS(Måned!$H$5:$H$2000,Måned!$A$5:$A$2000,$A44,Måned!$C$5:$C$2000,MONTH(AZ$5+3))+SUMPRODUCT((Vinduer!$A$5:$A$300=$A44)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4" s="19">
        <f>IF($A44="","",IF(COUNTIFS(Måned!$A$5:$A$2000,$A44,Måned!$C$5:$C$2000,MONTH(BA$5+3))=0,"",MAX(1,MIN(5,SUMIFS(Måned!$H$5:$H$2000,Måned!$A$5:$A$2000,$A44,Måned!$C$5:$C$2000,MONTH(BA$5+3))+SUMPRODUCT((Vinduer!$A$5:$A$300=$A44)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4" s="19">
        <f>IF($A44="","",IF(COUNTIFS(Måned!$A$5:$A$2000,$A44,Måned!$C$5:$C$2000,MONTH(BB$5+3))=0,"",MAX(1,MIN(5,SUMIFS(Måned!$H$5:$H$2000,Måned!$A$5:$A$2000,$A44,Måned!$C$5:$C$2000,MONTH(BB$5+3))+SUMPRODUCT((Vinduer!$A$5:$A$300=$A44)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4" s="19">
        <f>IF($A44="","",IF(COUNTIFS(Måned!$A$5:$A$2000,$A44,Måned!$C$5:$C$2000,MONTH(BC$5+3))=0,"",MAX(1,MIN(5,SUMIFS(Måned!$H$5:$H$2000,Måned!$A$5:$A$2000,$A44,Måned!$C$5:$C$2000,MONTH(BC$5+3))+SUMPRODUCT((Vinduer!$A$5:$A$300=$A44)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4" s="19">
        <f>IF($A44="","",IF(COUNTIFS(Måned!$A$5:$A$2000,$A44,Måned!$C$5:$C$2000,MONTH(BD$5+3))=0,"",MAX(1,MIN(5,SUMIFS(Måned!$H$5:$H$2000,Måned!$A$5:$A$2000,$A44,Måned!$C$5:$C$2000,MONTH(BD$5+3))+SUMPRODUCT((Vinduer!$A$5:$A$300=$A44)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4" s="19">
        <f>IF($A44="","",IF(COUNTIFS(Måned!$A$5:$A$2000,$A44,Måned!$C$5:$C$2000,MONTH(BE$5+3))=0,"",MAX(1,MIN(5,SUMIFS(Måned!$H$5:$H$2000,Måned!$A$5:$A$2000,$A44,Måned!$C$5:$C$2000,MONTH(BE$5+3))+SUMPRODUCT((Vinduer!$A$5:$A$300=$A44)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5">
      <c r="A45" s="5">
        <f>IF(Destinasjoner!A41="","",Destinasjoner!A41)</f>
        <v/>
      </c>
      <c r="B45" s="5">
        <f>IF(A45="","",Destinasjoner!E41)</f>
        <v/>
      </c>
      <c r="C45" s="5">
        <f>IF(A45="","",Destinasjoner!B41)</f>
        <v/>
      </c>
      <c r="D45" s="17">
        <f>IFERROR(SUMIFS(F45:BE45,$F$7:$BE$7,"x")/COUNTIFS($F$7:$BE$7,"x",F45:BE45,"&gt;0"),"")</f>
        <v/>
      </c>
      <c r="E45" s="18">
        <f>IF(D45="","",_xlfn.MINIFS(F45:BE45,$F$7:$BE$7,"x",F45:BE45,"&gt;0"))</f>
        <v/>
      </c>
      <c r="F45" s="19">
        <f>IF($A45="","",IF(COUNTIFS(Måned!$A$5:$A$2000,$A45,Måned!$C$5:$C$2000,MONTH(F$5+3))=0,"",MAX(1,MIN(5,SUMIFS(Måned!$H$5:$H$2000,Måned!$A$5:$A$2000,$A45,Måned!$C$5:$C$2000,MONTH(F$5+3))+SUMPRODUCT((Vinduer!$A$5:$A$300=$A45)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5" s="19">
        <f>IF($A45="","",IF(COUNTIFS(Måned!$A$5:$A$2000,$A45,Måned!$C$5:$C$2000,MONTH(G$5+3))=0,"",MAX(1,MIN(5,SUMIFS(Måned!$H$5:$H$2000,Måned!$A$5:$A$2000,$A45,Måned!$C$5:$C$2000,MONTH(G$5+3))+SUMPRODUCT((Vinduer!$A$5:$A$300=$A45)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5" s="19">
        <f>IF($A45="","",IF(COUNTIFS(Måned!$A$5:$A$2000,$A45,Måned!$C$5:$C$2000,MONTH(H$5+3))=0,"",MAX(1,MIN(5,SUMIFS(Måned!$H$5:$H$2000,Måned!$A$5:$A$2000,$A45,Måned!$C$5:$C$2000,MONTH(H$5+3))+SUMPRODUCT((Vinduer!$A$5:$A$300=$A45)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5" s="19">
        <f>IF($A45="","",IF(COUNTIFS(Måned!$A$5:$A$2000,$A45,Måned!$C$5:$C$2000,MONTH(I$5+3))=0,"",MAX(1,MIN(5,SUMIFS(Måned!$H$5:$H$2000,Måned!$A$5:$A$2000,$A45,Måned!$C$5:$C$2000,MONTH(I$5+3))+SUMPRODUCT((Vinduer!$A$5:$A$300=$A45)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5" s="19">
        <f>IF($A45="","",IF(COUNTIFS(Måned!$A$5:$A$2000,$A45,Måned!$C$5:$C$2000,MONTH(J$5+3))=0,"",MAX(1,MIN(5,SUMIFS(Måned!$H$5:$H$2000,Måned!$A$5:$A$2000,$A45,Måned!$C$5:$C$2000,MONTH(J$5+3))+SUMPRODUCT((Vinduer!$A$5:$A$300=$A45)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5" s="19">
        <f>IF($A45="","",IF(COUNTIFS(Måned!$A$5:$A$2000,$A45,Måned!$C$5:$C$2000,MONTH(K$5+3))=0,"",MAX(1,MIN(5,SUMIFS(Måned!$H$5:$H$2000,Måned!$A$5:$A$2000,$A45,Måned!$C$5:$C$2000,MONTH(K$5+3))+SUMPRODUCT((Vinduer!$A$5:$A$300=$A45)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5" s="19">
        <f>IF($A45="","",IF(COUNTIFS(Måned!$A$5:$A$2000,$A45,Måned!$C$5:$C$2000,MONTH(L$5+3))=0,"",MAX(1,MIN(5,SUMIFS(Måned!$H$5:$H$2000,Måned!$A$5:$A$2000,$A45,Måned!$C$5:$C$2000,MONTH(L$5+3))+SUMPRODUCT((Vinduer!$A$5:$A$300=$A45)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5" s="19">
        <f>IF($A45="","",IF(COUNTIFS(Måned!$A$5:$A$2000,$A45,Måned!$C$5:$C$2000,MONTH(M$5+3))=0,"",MAX(1,MIN(5,SUMIFS(Måned!$H$5:$H$2000,Måned!$A$5:$A$2000,$A45,Måned!$C$5:$C$2000,MONTH(M$5+3))+SUMPRODUCT((Vinduer!$A$5:$A$300=$A45)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5" s="19">
        <f>IF($A45="","",IF(COUNTIFS(Måned!$A$5:$A$2000,$A45,Måned!$C$5:$C$2000,MONTH(N$5+3))=0,"",MAX(1,MIN(5,SUMIFS(Måned!$H$5:$H$2000,Måned!$A$5:$A$2000,$A45,Måned!$C$5:$C$2000,MONTH(N$5+3))+SUMPRODUCT((Vinduer!$A$5:$A$300=$A45)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5" s="19">
        <f>IF($A45="","",IF(COUNTIFS(Måned!$A$5:$A$2000,$A45,Måned!$C$5:$C$2000,MONTH(O$5+3))=0,"",MAX(1,MIN(5,SUMIFS(Måned!$H$5:$H$2000,Måned!$A$5:$A$2000,$A45,Måned!$C$5:$C$2000,MONTH(O$5+3))+SUMPRODUCT((Vinduer!$A$5:$A$300=$A45)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5" s="19">
        <f>IF($A45="","",IF(COUNTIFS(Måned!$A$5:$A$2000,$A45,Måned!$C$5:$C$2000,MONTH(P$5+3))=0,"",MAX(1,MIN(5,SUMIFS(Måned!$H$5:$H$2000,Måned!$A$5:$A$2000,$A45,Måned!$C$5:$C$2000,MONTH(P$5+3))+SUMPRODUCT((Vinduer!$A$5:$A$300=$A45)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5" s="19">
        <f>IF($A45="","",IF(COUNTIFS(Måned!$A$5:$A$2000,$A45,Måned!$C$5:$C$2000,MONTH(Q$5+3))=0,"",MAX(1,MIN(5,SUMIFS(Måned!$H$5:$H$2000,Måned!$A$5:$A$2000,$A45,Måned!$C$5:$C$2000,MONTH(Q$5+3))+SUMPRODUCT((Vinduer!$A$5:$A$300=$A45)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5" s="19">
        <f>IF($A45="","",IF(COUNTIFS(Måned!$A$5:$A$2000,$A45,Måned!$C$5:$C$2000,MONTH(R$5+3))=0,"",MAX(1,MIN(5,SUMIFS(Måned!$H$5:$H$2000,Måned!$A$5:$A$2000,$A45,Måned!$C$5:$C$2000,MONTH(R$5+3))+SUMPRODUCT((Vinduer!$A$5:$A$300=$A45)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5" s="19">
        <f>IF($A45="","",IF(COUNTIFS(Måned!$A$5:$A$2000,$A45,Måned!$C$5:$C$2000,MONTH(S$5+3))=0,"",MAX(1,MIN(5,SUMIFS(Måned!$H$5:$H$2000,Måned!$A$5:$A$2000,$A45,Måned!$C$5:$C$2000,MONTH(S$5+3))+SUMPRODUCT((Vinduer!$A$5:$A$300=$A45)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5" s="19">
        <f>IF($A45="","",IF(COUNTIFS(Måned!$A$5:$A$2000,$A45,Måned!$C$5:$C$2000,MONTH(T$5+3))=0,"",MAX(1,MIN(5,SUMIFS(Måned!$H$5:$H$2000,Måned!$A$5:$A$2000,$A45,Måned!$C$5:$C$2000,MONTH(T$5+3))+SUMPRODUCT((Vinduer!$A$5:$A$300=$A45)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5" s="19">
        <f>IF($A45="","",IF(COUNTIFS(Måned!$A$5:$A$2000,$A45,Måned!$C$5:$C$2000,MONTH(U$5+3))=0,"",MAX(1,MIN(5,SUMIFS(Måned!$H$5:$H$2000,Måned!$A$5:$A$2000,$A45,Måned!$C$5:$C$2000,MONTH(U$5+3))+SUMPRODUCT((Vinduer!$A$5:$A$300=$A45)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5" s="19">
        <f>IF($A45="","",IF(COUNTIFS(Måned!$A$5:$A$2000,$A45,Måned!$C$5:$C$2000,MONTH(V$5+3))=0,"",MAX(1,MIN(5,SUMIFS(Måned!$H$5:$H$2000,Måned!$A$5:$A$2000,$A45,Måned!$C$5:$C$2000,MONTH(V$5+3))+SUMPRODUCT((Vinduer!$A$5:$A$300=$A45)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5" s="19">
        <f>IF($A45="","",IF(COUNTIFS(Måned!$A$5:$A$2000,$A45,Måned!$C$5:$C$2000,MONTH(W$5+3))=0,"",MAX(1,MIN(5,SUMIFS(Måned!$H$5:$H$2000,Måned!$A$5:$A$2000,$A45,Måned!$C$5:$C$2000,MONTH(W$5+3))+SUMPRODUCT((Vinduer!$A$5:$A$300=$A45)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5" s="19">
        <f>IF($A45="","",IF(COUNTIFS(Måned!$A$5:$A$2000,$A45,Måned!$C$5:$C$2000,MONTH(X$5+3))=0,"",MAX(1,MIN(5,SUMIFS(Måned!$H$5:$H$2000,Måned!$A$5:$A$2000,$A45,Måned!$C$5:$C$2000,MONTH(X$5+3))+SUMPRODUCT((Vinduer!$A$5:$A$300=$A45)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5" s="19">
        <f>IF($A45="","",IF(COUNTIFS(Måned!$A$5:$A$2000,$A45,Måned!$C$5:$C$2000,MONTH(Y$5+3))=0,"",MAX(1,MIN(5,SUMIFS(Måned!$H$5:$H$2000,Måned!$A$5:$A$2000,$A45,Måned!$C$5:$C$2000,MONTH(Y$5+3))+SUMPRODUCT((Vinduer!$A$5:$A$300=$A45)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5" s="19">
        <f>IF($A45="","",IF(COUNTIFS(Måned!$A$5:$A$2000,$A45,Måned!$C$5:$C$2000,MONTH(Z$5+3))=0,"",MAX(1,MIN(5,SUMIFS(Måned!$H$5:$H$2000,Måned!$A$5:$A$2000,$A45,Måned!$C$5:$C$2000,MONTH(Z$5+3))+SUMPRODUCT((Vinduer!$A$5:$A$300=$A45)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5" s="19">
        <f>IF($A45="","",IF(COUNTIFS(Måned!$A$5:$A$2000,$A45,Måned!$C$5:$C$2000,MONTH(AA$5+3))=0,"",MAX(1,MIN(5,SUMIFS(Måned!$H$5:$H$2000,Måned!$A$5:$A$2000,$A45,Måned!$C$5:$C$2000,MONTH(AA$5+3))+SUMPRODUCT((Vinduer!$A$5:$A$300=$A45)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5" s="19">
        <f>IF($A45="","",IF(COUNTIFS(Måned!$A$5:$A$2000,$A45,Måned!$C$5:$C$2000,MONTH(AB$5+3))=0,"",MAX(1,MIN(5,SUMIFS(Måned!$H$5:$H$2000,Måned!$A$5:$A$2000,$A45,Måned!$C$5:$C$2000,MONTH(AB$5+3))+SUMPRODUCT((Vinduer!$A$5:$A$300=$A45)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5" s="19">
        <f>IF($A45="","",IF(COUNTIFS(Måned!$A$5:$A$2000,$A45,Måned!$C$5:$C$2000,MONTH(AC$5+3))=0,"",MAX(1,MIN(5,SUMIFS(Måned!$H$5:$H$2000,Måned!$A$5:$A$2000,$A45,Måned!$C$5:$C$2000,MONTH(AC$5+3))+SUMPRODUCT((Vinduer!$A$5:$A$300=$A45)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5" s="19">
        <f>IF($A45="","",IF(COUNTIFS(Måned!$A$5:$A$2000,$A45,Måned!$C$5:$C$2000,MONTH(AD$5+3))=0,"",MAX(1,MIN(5,SUMIFS(Måned!$H$5:$H$2000,Måned!$A$5:$A$2000,$A45,Måned!$C$5:$C$2000,MONTH(AD$5+3))+SUMPRODUCT((Vinduer!$A$5:$A$300=$A45)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5" s="19">
        <f>IF($A45="","",IF(COUNTIFS(Måned!$A$5:$A$2000,$A45,Måned!$C$5:$C$2000,MONTH(AE$5+3))=0,"",MAX(1,MIN(5,SUMIFS(Måned!$H$5:$H$2000,Måned!$A$5:$A$2000,$A45,Måned!$C$5:$C$2000,MONTH(AE$5+3))+SUMPRODUCT((Vinduer!$A$5:$A$300=$A45)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5" s="19">
        <f>IF($A45="","",IF(COUNTIFS(Måned!$A$5:$A$2000,$A45,Måned!$C$5:$C$2000,MONTH(AF$5+3))=0,"",MAX(1,MIN(5,SUMIFS(Måned!$H$5:$H$2000,Måned!$A$5:$A$2000,$A45,Måned!$C$5:$C$2000,MONTH(AF$5+3))+SUMPRODUCT((Vinduer!$A$5:$A$300=$A45)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5" s="19">
        <f>IF($A45="","",IF(COUNTIFS(Måned!$A$5:$A$2000,$A45,Måned!$C$5:$C$2000,MONTH(AG$5+3))=0,"",MAX(1,MIN(5,SUMIFS(Måned!$H$5:$H$2000,Måned!$A$5:$A$2000,$A45,Måned!$C$5:$C$2000,MONTH(AG$5+3))+SUMPRODUCT((Vinduer!$A$5:$A$300=$A45)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5" s="19">
        <f>IF($A45="","",IF(COUNTIFS(Måned!$A$5:$A$2000,$A45,Måned!$C$5:$C$2000,MONTH(AH$5+3))=0,"",MAX(1,MIN(5,SUMIFS(Måned!$H$5:$H$2000,Måned!$A$5:$A$2000,$A45,Måned!$C$5:$C$2000,MONTH(AH$5+3))+SUMPRODUCT((Vinduer!$A$5:$A$300=$A45)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5" s="19">
        <f>IF($A45="","",IF(COUNTIFS(Måned!$A$5:$A$2000,$A45,Måned!$C$5:$C$2000,MONTH(AI$5+3))=0,"",MAX(1,MIN(5,SUMIFS(Måned!$H$5:$H$2000,Måned!$A$5:$A$2000,$A45,Måned!$C$5:$C$2000,MONTH(AI$5+3))+SUMPRODUCT((Vinduer!$A$5:$A$300=$A45)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5" s="19">
        <f>IF($A45="","",IF(COUNTIFS(Måned!$A$5:$A$2000,$A45,Måned!$C$5:$C$2000,MONTH(AJ$5+3))=0,"",MAX(1,MIN(5,SUMIFS(Måned!$H$5:$H$2000,Måned!$A$5:$A$2000,$A45,Måned!$C$5:$C$2000,MONTH(AJ$5+3))+SUMPRODUCT((Vinduer!$A$5:$A$300=$A45)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5" s="19">
        <f>IF($A45="","",IF(COUNTIFS(Måned!$A$5:$A$2000,$A45,Måned!$C$5:$C$2000,MONTH(AK$5+3))=0,"",MAX(1,MIN(5,SUMIFS(Måned!$H$5:$H$2000,Måned!$A$5:$A$2000,$A45,Måned!$C$5:$C$2000,MONTH(AK$5+3))+SUMPRODUCT((Vinduer!$A$5:$A$300=$A45)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5" s="19">
        <f>IF($A45="","",IF(COUNTIFS(Måned!$A$5:$A$2000,$A45,Måned!$C$5:$C$2000,MONTH(AL$5+3))=0,"",MAX(1,MIN(5,SUMIFS(Måned!$H$5:$H$2000,Måned!$A$5:$A$2000,$A45,Måned!$C$5:$C$2000,MONTH(AL$5+3))+SUMPRODUCT((Vinduer!$A$5:$A$300=$A45)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5" s="19">
        <f>IF($A45="","",IF(COUNTIFS(Måned!$A$5:$A$2000,$A45,Måned!$C$5:$C$2000,MONTH(AM$5+3))=0,"",MAX(1,MIN(5,SUMIFS(Måned!$H$5:$H$2000,Måned!$A$5:$A$2000,$A45,Måned!$C$5:$C$2000,MONTH(AM$5+3))+SUMPRODUCT((Vinduer!$A$5:$A$300=$A45)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5" s="19">
        <f>IF($A45="","",IF(COUNTIFS(Måned!$A$5:$A$2000,$A45,Måned!$C$5:$C$2000,MONTH(AN$5+3))=0,"",MAX(1,MIN(5,SUMIFS(Måned!$H$5:$H$2000,Måned!$A$5:$A$2000,$A45,Måned!$C$5:$C$2000,MONTH(AN$5+3))+SUMPRODUCT((Vinduer!$A$5:$A$300=$A45)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5" s="19">
        <f>IF($A45="","",IF(COUNTIFS(Måned!$A$5:$A$2000,$A45,Måned!$C$5:$C$2000,MONTH(AO$5+3))=0,"",MAX(1,MIN(5,SUMIFS(Måned!$H$5:$H$2000,Måned!$A$5:$A$2000,$A45,Måned!$C$5:$C$2000,MONTH(AO$5+3))+SUMPRODUCT((Vinduer!$A$5:$A$300=$A45)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5" s="19">
        <f>IF($A45="","",IF(COUNTIFS(Måned!$A$5:$A$2000,$A45,Måned!$C$5:$C$2000,MONTH(AP$5+3))=0,"",MAX(1,MIN(5,SUMIFS(Måned!$H$5:$H$2000,Måned!$A$5:$A$2000,$A45,Måned!$C$5:$C$2000,MONTH(AP$5+3))+SUMPRODUCT((Vinduer!$A$5:$A$300=$A45)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5" s="19">
        <f>IF($A45="","",IF(COUNTIFS(Måned!$A$5:$A$2000,$A45,Måned!$C$5:$C$2000,MONTH(AQ$5+3))=0,"",MAX(1,MIN(5,SUMIFS(Måned!$H$5:$H$2000,Måned!$A$5:$A$2000,$A45,Måned!$C$5:$C$2000,MONTH(AQ$5+3))+SUMPRODUCT((Vinduer!$A$5:$A$300=$A45)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5" s="19">
        <f>IF($A45="","",IF(COUNTIFS(Måned!$A$5:$A$2000,$A45,Måned!$C$5:$C$2000,MONTH(AR$5+3))=0,"",MAX(1,MIN(5,SUMIFS(Måned!$H$5:$H$2000,Måned!$A$5:$A$2000,$A45,Måned!$C$5:$C$2000,MONTH(AR$5+3))+SUMPRODUCT((Vinduer!$A$5:$A$300=$A45)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5" s="19">
        <f>IF($A45="","",IF(COUNTIFS(Måned!$A$5:$A$2000,$A45,Måned!$C$5:$C$2000,MONTH(AS$5+3))=0,"",MAX(1,MIN(5,SUMIFS(Måned!$H$5:$H$2000,Måned!$A$5:$A$2000,$A45,Måned!$C$5:$C$2000,MONTH(AS$5+3))+SUMPRODUCT((Vinduer!$A$5:$A$300=$A45)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5" s="19">
        <f>IF($A45="","",IF(COUNTIFS(Måned!$A$5:$A$2000,$A45,Måned!$C$5:$C$2000,MONTH(AT$5+3))=0,"",MAX(1,MIN(5,SUMIFS(Måned!$H$5:$H$2000,Måned!$A$5:$A$2000,$A45,Måned!$C$5:$C$2000,MONTH(AT$5+3))+SUMPRODUCT((Vinduer!$A$5:$A$300=$A45)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5" s="19">
        <f>IF($A45="","",IF(COUNTIFS(Måned!$A$5:$A$2000,$A45,Måned!$C$5:$C$2000,MONTH(AU$5+3))=0,"",MAX(1,MIN(5,SUMIFS(Måned!$H$5:$H$2000,Måned!$A$5:$A$2000,$A45,Måned!$C$5:$C$2000,MONTH(AU$5+3))+SUMPRODUCT((Vinduer!$A$5:$A$300=$A45)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5" s="19">
        <f>IF($A45="","",IF(COUNTIFS(Måned!$A$5:$A$2000,$A45,Måned!$C$5:$C$2000,MONTH(AV$5+3))=0,"",MAX(1,MIN(5,SUMIFS(Måned!$H$5:$H$2000,Måned!$A$5:$A$2000,$A45,Måned!$C$5:$C$2000,MONTH(AV$5+3))+SUMPRODUCT((Vinduer!$A$5:$A$300=$A45)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5" s="19">
        <f>IF($A45="","",IF(COUNTIFS(Måned!$A$5:$A$2000,$A45,Måned!$C$5:$C$2000,MONTH(AW$5+3))=0,"",MAX(1,MIN(5,SUMIFS(Måned!$H$5:$H$2000,Måned!$A$5:$A$2000,$A45,Måned!$C$5:$C$2000,MONTH(AW$5+3))+SUMPRODUCT((Vinduer!$A$5:$A$300=$A45)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5" s="19">
        <f>IF($A45="","",IF(COUNTIFS(Måned!$A$5:$A$2000,$A45,Måned!$C$5:$C$2000,MONTH(AX$5+3))=0,"",MAX(1,MIN(5,SUMIFS(Måned!$H$5:$H$2000,Måned!$A$5:$A$2000,$A45,Måned!$C$5:$C$2000,MONTH(AX$5+3))+SUMPRODUCT((Vinduer!$A$5:$A$300=$A45)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5" s="19">
        <f>IF($A45="","",IF(COUNTIFS(Måned!$A$5:$A$2000,$A45,Måned!$C$5:$C$2000,MONTH(AY$5+3))=0,"",MAX(1,MIN(5,SUMIFS(Måned!$H$5:$H$2000,Måned!$A$5:$A$2000,$A45,Måned!$C$5:$C$2000,MONTH(AY$5+3))+SUMPRODUCT((Vinduer!$A$5:$A$300=$A45)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5" s="19">
        <f>IF($A45="","",IF(COUNTIFS(Måned!$A$5:$A$2000,$A45,Måned!$C$5:$C$2000,MONTH(AZ$5+3))=0,"",MAX(1,MIN(5,SUMIFS(Måned!$H$5:$H$2000,Måned!$A$5:$A$2000,$A45,Måned!$C$5:$C$2000,MONTH(AZ$5+3))+SUMPRODUCT((Vinduer!$A$5:$A$300=$A45)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5" s="19">
        <f>IF($A45="","",IF(COUNTIFS(Måned!$A$5:$A$2000,$A45,Måned!$C$5:$C$2000,MONTH(BA$5+3))=0,"",MAX(1,MIN(5,SUMIFS(Måned!$H$5:$H$2000,Måned!$A$5:$A$2000,$A45,Måned!$C$5:$C$2000,MONTH(BA$5+3))+SUMPRODUCT((Vinduer!$A$5:$A$300=$A45)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5" s="19">
        <f>IF($A45="","",IF(COUNTIFS(Måned!$A$5:$A$2000,$A45,Måned!$C$5:$C$2000,MONTH(BB$5+3))=0,"",MAX(1,MIN(5,SUMIFS(Måned!$H$5:$H$2000,Måned!$A$5:$A$2000,$A45,Måned!$C$5:$C$2000,MONTH(BB$5+3))+SUMPRODUCT((Vinduer!$A$5:$A$300=$A45)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5" s="19">
        <f>IF($A45="","",IF(COUNTIFS(Måned!$A$5:$A$2000,$A45,Måned!$C$5:$C$2000,MONTH(BC$5+3))=0,"",MAX(1,MIN(5,SUMIFS(Måned!$H$5:$H$2000,Måned!$A$5:$A$2000,$A45,Måned!$C$5:$C$2000,MONTH(BC$5+3))+SUMPRODUCT((Vinduer!$A$5:$A$300=$A45)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5" s="19">
        <f>IF($A45="","",IF(COUNTIFS(Måned!$A$5:$A$2000,$A45,Måned!$C$5:$C$2000,MONTH(BD$5+3))=0,"",MAX(1,MIN(5,SUMIFS(Måned!$H$5:$H$2000,Måned!$A$5:$A$2000,$A45,Måned!$C$5:$C$2000,MONTH(BD$5+3))+SUMPRODUCT((Vinduer!$A$5:$A$300=$A45)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5" s="19">
        <f>IF($A45="","",IF(COUNTIFS(Måned!$A$5:$A$2000,$A45,Måned!$C$5:$C$2000,MONTH(BE$5+3))=0,"",MAX(1,MIN(5,SUMIFS(Måned!$H$5:$H$2000,Måned!$A$5:$A$2000,$A45,Måned!$C$5:$C$2000,MONTH(BE$5+3))+SUMPRODUCT((Vinduer!$A$5:$A$300=$A45)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6">
      <c r="A46" s="5">
        <f>IF(Destinasjoner!A42="","",Destinasjoner!A42)</f>
        <v/>
      </c>
      <c r="B46" s="5">
        <f>IF(A46="","",Destinasjoner!E42)</f>
        <v/>
      </c>
      <c r="C46" s="5">
        <f>IF(A46="","",Destinasjoner!B42)</f>
        <v/>
      </c>
      <c r="D46" s="17">
        <f>IFERROR(SUMIFS(F46:BE46,$F$7:$BE$7,"x")/COUNTIFS($F$7:$BE$7,"x",F46:BE46,"&gt;0"),"")</f>
        <v/>
      </c>
      <c r="E46" s="18">
        <f>IF(D46="","",_xlfn.MINIFS(F46:BE46,$F$7:$BE$7,"x",F46:BE46,"&gt;0"))</f>
        <v/>
      </c>
      <c r="F46" s="19">
        <f>IF($A46="","",IF(COUNTIFS(Måned!$A$5:$A$2000,$A46,Måned!$C$5:$C$2000,MONTH(F$5+3))=0,"",MAX(1,MIN(5,SUMIFS(Måned!$H$5:$H$2000,Måned!$A$5:$A$2000,$A46,Måned!$C$5:$C$2000,MONTH(F$5+3))+SUMPRODUCT((Vinduer!$A$5:$A$300=$A46)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6" s="19">
        <f>IF($A46="","",IF(COUNTIFS(Måned!$A$5:$A$2000,$A46,Måned!$C$5:$C$2000,MONTH(G$5+3))=0,"",MAX(1,MIN(5,SUMIFS(Måned!$H$5:$H$2000,Måned!$A$5:$A$2000,$A46,Måned!$C$5:$C$2000,MONTH(G$5+3))+SUMPRODUCT((Vinduer!$A$5:$A$300=$A46)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6" s="19">
        <f>IF($A46="","",IF(COUNTIFS(Måned!$A$5:$A$2000,$A46,Måned!$C$5:$C$2000,MONTH(H$5+3))=0,"",MAX(1,MIN(5,SUMIFS(Måned!$H$5:$H$2000,Måned!$A$5:$A$2000,$A46,Måned!$C$5:$C$2000,MONTH(H$5+3))+SUMPRODUCT((Vinduer!$A$5:$A$300=$A46)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6" s="19">
        <f>IF($A46="","",IF(COUNTIFS(Måned!$A$5:$A$2000,$A46,Måned!$C$5:$C$2000,MONTH(I$5+3))=0,"",MAX(1,MIN(5,SUMIFS(Måned!$H$5:$H$2000,Måned!$A$5:$A$2000,$A46,Måned!$C$5:$C$2000,MONTH(I$5+3))+SUMPRODUCT((Vinduer!$A$5:$A$300=$A46)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6" s="19">
        <f>IF($A46="","",IF(COUNTIFS(Måned!$A$5:$A$2000,$A46,Måned!$C$5:$C$2000,MONTH(J$5+3))=0,"",MAX(1,MIN(5,SUMIFS(Måned!$H$5:$H$2000,Måned!$A$5:$A$2000,$A46,Måned!$C$5:$C$2000,MONTH(J$5+3))+SUMPRODUCT((Vinduer!$A$5:$A$300=$A46)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6" s="19">
        <f>IF($A46="","",IF(COUNTIFS(Måned!$A$5:$A$2000,$A46,Måned!$C$5:$C$2000,MONTH(K$5+3))=0,"",MAX(1,MIN(5,SUMIFS(Måned!$H$5:$H$2000,Måned!$A$5:$A$2000,$A46,Måned!$C$5:$C$2000,MONTH(K$5+3))+SUMPRODUCT((Vinduer!$A$5:$A$300=$A46)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6" s="19">
        <f>IF($A46="","",IF(COUNTIFS(Måned!$A$5:$A$2000,$A46,Måned!$C$5:$C$2000,MONTH(L$5+3))=0,"",MAX(1,MIN(5,SUMIFS(Måned!$H$5:$H$2000,Måned!$A$5:$A$2000,$A46,Måned!$C$5:$C$2000,MONTH(L$5+3))+SUMPRODUCT((Vinduer!$A$5:$A$300=$A46)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6" s="19">
        <f>IF($A46="","",IF(COUNTIFS(Måned!$A$5:$A$2000,$A46,Måned!$C$5:$C$2000,MONTH(M$5+3))=0,"",MAX(1,MIN(5,SUMIFS(Måned!$H$5:$H$2000,Måned!$A$5:$A$2000,$A46,Måned!$C$5:$C$2000,MONTH(M$5+3))+SUMPRODUCT((Vinduer!$A$5:$A$300=$A46)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6" s="19">
        <f>IF($A46="","",IF(COUNTIFS(Måned!$A$5:$A$2000,$A46,Måned!$C$5:$C$2000,MONTH(N$5+3))=0,"",MAX(1,MIN(5,SUMIFS(Måned!$H$5:$H$2000,Måned!$A$5:$A$2000,$A46,Måned!$C$5:$C$2000,MONTH(N$5+3))+SUMPRODUCT((Vinduer!$A$5:$A$300=$A46)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6" s="19">
        <f>IF($A46="","",IF(COUNTIFS(Måned!$A$5:$A$2000,$A46,Måned!$C$5:$C$2000,MONTH(O$5+3))=0,"",MAX(1,MIN(5,SUMIFS(Måned!$H$5:$H$2000,Måned!$A$5:$A$2000,$A46,Måned!$C$5:$C$2000,MONTH(O$5+3))+SUMPRODUCT((Vinduer!$A$5:$A$300=$A46)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6" s="19">
        <f>IF($A46="","",IF(COUNTIFS(Måned!$A$5:$A$2000,$A46,Måned!$C$5:$C$2000,MONTH(P$5+3))=0,"",MAX(1,MIN(5,SUMIFS(Måned!$H$5:$H$2000,Måned!$A$5:$A$2000,$A46,Måned!$C$5:$C$2000,MONTH(P$5+3))+SUMPRODUCT((Vinduer!$A$5:$A$300=$A46)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6" s="19">
        <f>IF($A46="","",IF(COUNTIFS(Måned!$A$5:$A$2000,$A46,Måned!$C$5:$C$2000,MONTH(Q$5+3))=0,"",MAX(1,MIN(5,SUMIFS(Måned!$H$5:$H$2000,Måned!$A$5:$A$2000,$A46,Måned!$C$5:$C$2000,MONTH(Q$5+3))+SUMPRODUCT((Vinduer!$A$5:$A$300=$A46)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6" s="19">
        <f>IF($A46="","",IF(COUNTIFS(Måned!$A$5:$A$2000,$A46,Måned!$C$5:$C$2000,MONTH(R$5+3))=0,"",MAX(1,MIN(5,SUMIFS(Måned!$H$5:$H$2000,Måned!$A$5:$A$2000,$A46,Måned!$C$5:$C$2000,MONTH(R$5+3))+SUMPRODUCT((Vinduer!$A$5:$A$300=$A46)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6" s="19">
        <f>IF($A46="","",IF(COUNTIFS(Måned!$A$5:$A$2000,$A46,Måned!$C$5:$C$2000,MONTH(S$5+3))=0,"",MAX(1,MIN(5,SUMIFS(Måned!$H$5:$H$2000,Måned!$A$5:$A$2000,$A46,Måned!$C$5:$C$2000,MONTH(S$5+3))+SUMPRODUCT((Vinduer!$A$5:$A$300=$A46)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6" s="19">
        <f>IF($A46="","",IF(COUNTIFS(Måned!$A$5:$A$2000,$A46,Måned!$C$5:$C$2000,MONTH(T$5+3))=0,"",MAX(1,MIN(5,SUMIFS(Måned!$H$5:$H$2000,Måned!$A$5:$A$2000,$A46,Måned!$C$5:$C$2000,MONTH(T$5+3))+SUMPRODUCT((Vinduer!$A$5:$A$300=$A46)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6" s="19">
        <f>IF($A46="","",IF(COUNTIFS(Måned!$A$5:$A$2000,$A46,Måned!$C$5:$C$2000,MONTH(U$5+3))=0,"",MAX(1,MIN(5,SUMIFS(Måned!$H$5:$H$2000,Måned!$A$5:$A$2000,$A46,Måned!$C$5:$C$2000,MONTH(U$5+3))+SUMPRODUCT((Vinduer!$A$5:$A$300=$A46)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6" s="19">
        <f>IF($A46="","",IF(COUNTIFS(Måned!$A$5:$A$2000,$A46,Måned!$C$5:$C$2000,MONTH(V$5+3))=0,"",MAX(1,MIN(5,SUMIFS(Måned!$H$5:$H$2000,Måned!$A$5:$A$2000,$A46,Måned!$C$5:$C$2000,MONTH(V$5+3))+SUMPRODUCT((Vinduer!$A$5:$A$300=$A46)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6" s="19">
        <f>IF($A46="","",IF(COUNTIFS(Måned!$A$5:$A$2000,$A46,Måned!$C$5:$C$2000,MONTH(W$5+3))=0,"",MAX(1,MIN(5,SUMIFS(Måned!$H$5:$H$2000,Måned!$A$5:$A$2000,$A46,Måned!$C$5:$C$2000,MONTH(W$5+3))+SUMPRODUCT((Vinduer!$A$5:$A$300=$A46)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6" s="19">
        <f>IF($A46="","",IF(COUNTIFS(Måned!$A$5:$A$2000,$A46,Måned!$C$5:$C$2000,MONTH(X$5+3))=0,"",MAX(1,MIN(5,SUMIFS(Måned!$H$5:$H$2000,Måned!$A$5:$A$2000,$A46,Måned!$C$5:$C$2000,MONTH(X$5+3))+SUMPRODUCT((Vinduer!$A$5:$A$300=$A46)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6" s="19">
        <f>IF($A46="","",IF(COUNTIFS(Måned!$A$5:$A$2000,$A46,Måned!$C$5:$C$2000,MONTH(Y$5+3))=0,"",MAX(1,MIN(5,SUMIFS(Måned!$H$5:$H$2000,Måned!$A$5:$A$2000,$A46,Måned!$C$5:$C$2000,MONTH(Y$5+3))+SUMPRODUCT((Vinduer!$A$5:$A$300=$A46)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6" s="19">
        <f>IF($A46="","",IF(COUNTIFS(Måned!$A$5:$A$2000,$A46,Måned!$C$5:$C$2000,MONTH(Z$5+3))=0,"",MAX(1,MIN(5,SUMIFS(Måned!$H$5:$H$2000,Måned!$A$5:$A$2000,$A46,Måned!$C$5:$C$2000,MONTH(Z$5+3))+SUMPRODUCT((Vinduer!$A$5:$A$300=$A46)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6" s="19">
        <f>IF($A46="","",IF(COUNTIFS(Måned!$A$5:$A$2000,$A46,Måned!$C$5:$C$2000,MONTH(AA$5+3))=0,"",MAX(1,MIN(5,SUMIFS(Måned!$H$5:$H$2000,Måned!$A$5:$A$2000,$A46,Måned!$C$5:$C$2000,MONTH(AA$5+3))+SUMPRODUCT((Vinduer!$A$5:$A$300=$A46)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6" s="19">
        <f>IF($A46="","",IF(COUNTIFS(Måned!$A$5:$A$2000,$A46,Måned!$C$5:$C$2000,MONTH(AB$5+3))=0,"",MAX(1,MIN(5,SUMIFS(Måned!$H$5:$H$2000,Måned!$A$5:$A$2000,$A46,Måned!$C$5:$C$2000,MONTH(AB$5+3))+SUMPRODUCT((Vinduer!$A$5:$A$300=$A46)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6" s="19">
        <f>IF($A46="","",IF(COUNTIFS(Måned!$A$5:$A$2000,$A46,Måned!$C$5:$C$2000,MONTH(AC$5+3))=0,"",MAX(1,MIN(5,SUMIFS(Måned!$H$5:$H$2000,Måned!$A$5:$A$2000,$A46,Måned!$C$5:$C$2000,MONTH(AC$5+3))+SUMPRODUCT((Vinduer!$A$5:$A$300=$A46)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6" s="19">
        <f>IF($A46="","",IF(COUNTIFS(Måned!$A$5:$A$2000,$A46,Måned!$C$5:$C$2000,MONTH(AD$5+3))=0,"",MAX(1,MIN(5,SUMIFS(Måned!$H$5:$H$2000,Måned!$A$5:$A$2000,$A46,Måned!$C$5:$C$2000,MONTH(AD$5+3))+SUMPRODUCT((Vinduer!$A$5:$A$300=$A46)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6" s="19">
        <f>IF($A46="","",IF(COUNTIFS(Måned!$A$5:$A$2000,$A46,Måned!$C$5:$C$2000,MONTH(AE$5+3))=0,"",MAX(1,MIN(5,SUMIFS(Måned!$H$5:$H$2000,Måned!$A$5:$A$2000,$A46,Måned!$C$5:$C$2000,MONTH(AE$5+3))+SUMPRODUCT((Vinduer!$A$5:$A$300=$A46)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6" s="19">
        <f>IF($A46="","",IF(COUNTIFS(Måned!$A$5:$A$2000,$A46,Måned!$C$5:$C$2000,MONTH(AF$5+3))=0,"",MAX(1,MIN(5,SUMIFS(Måned!$H$5:$H$2000,Måned!$A$5:$A$2000,$A46,Måned!$C$5:$C$2000,MONTH(AF$5+3))+SUMPRODUCT((Vinduer!$A$5:$A$300=$A46)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6" s="19">
        <f>IF($A46="","",IF(COUNTIFS(Måned!$A$5:$A$2000,$A46,Måned!$C$5:$C$2000,MONTH(AG$5+3))=0,"",MAX(1,MIN(5,SUMIFS(Måned!$H$5:$H$2000,Måned!$A$5:$A$2000,$A46,Måned!$C$5:$C$2000,MONTH(AG$5+3))+SUMPRODUCT((Vinduer!$A$5:$A$300=$A46)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6" s="19">
        <f>IF($A46="","",IF(COUNTIFS(Måned!$A$5:$A$2000,$A46,Måned!$C$5:$C$2000,MONTH(AH$5+3))=0,"",MAX(1,MIN(5,SUMIFS(Måned!$H$5:$H$2000,Måned!$A$5:$A$2000,$A46,Måned!$C$5:$C$2000,MONTH(AH$5+3))+SUMPRODUCT((Vinduer!$A$5:$A$300=$A46)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6" s="19">
        <f>IF($A46="","",IF(COUNTIFS(Måned!$A$5:$A$2000,$A46,Måned!$C$5:$C$2000,MONTH(AI$5+3))=0,"",MAX(1,MIN(5,SUMIFS(Måned!$H$5:$H$2000,Måned!$A$5:$A$2000,$A46,Måned!$C$5:$C$2000,MONTH(AI$5+3))+SUMPRODUCT((Vinduer!$A$5:$A$300=$A46)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6" s="19">
        <f>IF($A46="","",IF(COUNTIFS(Måned!$A$5:$A$2000,$A46,Måned!$C$5:$C$2000,MONTH(AJ$5+3))=0,"",MAX(1,MIN(5,SUMIFS(Måned!$H$5:$H$2000,Måned!$A$5:$A$2000,$A46,Måned!$C$5:$C$2000,MONTH(AJ$5+3))+SUMPRODUCT((Vinduer!$A$5:$A$300=$A46)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6" s="19">
        <f>IF($A46="","",IF(COUNTIFS(Måned!$A$5:$A$2000,$A46,Måned!$C$5:$C$2000,MONTH(AK$5+3))=0,"",MAX(1,MIN(5,SUMIFS(Måned!$H$5:$H$2000,Måned!$A$5:$A$2000,$A46,Måned!$C$5:$C$2000,MONTH(AK$5+3))+SUMPRODUCT((Vinduer!$A$5:$A$300=$A46)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6" s="19">
        <f>IF($A46="","",IF(COUNTIFS(Måned!$A$5:$A$2000,$A46,Måned!$C$5:$C$2000,MONTH(AL$5+3))=0,"",MAX(1,MIN(5,SUMIFS(Måned!$H$5:$H$2000,Måned!$A$5:$A$2000,$A46,Måned!$C$5:$C$2000,MONTH(AL$5+3))+SUMPRODUCT((Vinduer!$A$5:$A$300=$A46)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6" s="19">
        <f>IF($A46="","",IF(COUNTIFS(Måned!$A$5:$A$2000,$A46,Måned!$C$5:$C$2000,MONTH(AM$5+3))=0,"",MAX(1,MIN(5,SUMIFS(Måned!$H$5:$H$2000,Måned!$A$5:$A$2000,$A46,Måned!$C$5:$C$2000,MONTH(AM$5+3))+SUMPRODUCT((Vinduer!$A$5:$A$300=$A46)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6" s="19">
        <f>IF($A46="","",IF(COUNTIFS(Måned!$A$5:$A$2000,$A46,Måned!$C$5:$C$2000,MONTH(AN$5+3))=0,"",MAX(1,MIN(5,SUMIFS(Måned!$H$5:$H$2000,Måned!$A$5:$A$2000,$A46,Måned!$C$5:$C$2000,MONTH(AN$5+3))+SUMPRODUCT((Vinduer!$A$5:$A$300=$A46)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6" s="19">
        <f>IF($A46="","",IF(COUNTIFS(Måned!$A$5:$A$2000,$A46,Måned!$C$5:$C$2000,MONTH(AO$5+3))=0,"",MAX(1,MIN(5,SUMIFS(Måned!$H$5:$H$2000,Måned!$A$5:$A$2000,$A46,Måned!$C$5:$C$2000,MONTH(AO$5+3))+SUMPRODUCT((Vinduer!$A$5:$A$300=$A46)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6" s="19">
        <f>IF($A46="","",IF(COUNTIFS(Måned!$A$5:$A$2000,$A46,Måned!$C$5:$C$2000,MONTH(AP$5+3))=0,"",MAX(1,MIN(5,SUMIFS(Måned!$H$5:$H$2000,Måned!$A$5:$A$2000,$A46,Måned!$C$5:$C$2000,MONTH(AP$5+3))+SUMPRODUCT((Vinduer!$A$5:$A$300=$A46)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6" s="19">
        <f>IF($A46="","",IF(COUNTIFS(Måned!$A$5:$A$2000,$A46,Måned!$C$5:$C$2000,MONTH(AQ$5+3))=0,"",MAX(1,MIN(5,SUMIFS(Måned!$H$5:$H$2000,Måned!$A$5:$A$2000,$A46,Måned!$C$5:$C$2000,MONTH(AQ$5+3))+SUMPRODUCT((Vinduer!$A$5:$A$300=$A46)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6" s="19">
        <f>IF($A46="","",IF(COUNTIFS(Måned!$A$5:$A$2000,$A46,Måned!$C$5:$C$2000,MONTH(AR$5+3))=0,"",MAX(1,MIN(5,SUMIFS(Måned!$H$5:$H$2000,Måned!$A$5:$A$2000,$A46,Måned!$C$5:$C$2000,MONTH(AR$5+3))+SUMPRODUCT((Vinduer!$A$5:$A$300=$A46)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6" s="19">
        <f>IF($A46="","",IF(COUNTIFS(Måned!$A$5:$A$2000,$A46,Måned!$C$5:$C$2000,MONTH(AS$5+3))=0,"",MAX(1,MIN(5,SUMIFS(Måned!$H$5:$H$2000,Måned!$A$5:$A$2000,$A46,Måned!$C$5:$C$2000,MONTH(AS$5+3))+SUMPRODUCT((Vinduer!$A$5:$A$300=$A46)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6" s="19">
        <f>IF($A46="","",IF(COUNTIFS(Måned!$A$5:$A$2000,$A46,Måned!$C$5:$C$2000,MONTH(AT$5+3))=0,"",MAX(1,MIN(5,SUMIFS(Måned!$H$5:$H$2000,Måned!$A$5:$A$2000,$A46,Måned!$C$5:$C$2000,MONTH(AT$5+3))+SUMPRODUCT((Vinduer!$A$5:$A$300=$A46)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6" s="19">
        <f>IF($A46="","",IF(COUNTIFS(Måned!$A$5:$A$2000,$A46,Måned!$C$5:$C$2000,MONTH(AU$5+3))=0,"",MAX(1,MIN(5,SUMIFS(Måned!$H$5:$H$2000,Måned!$A$5:$A$2000,$A46,Måned!$C$5:$C$2000,MONTH(AU$5+3))+SUMPRODUCT((Vinduer!$A$5:$A$300=$A46)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6" s="19">
        <f>IF($A46="","",IF(COUNTIFS(Måned!$A$5:$A$2000,$A46,Måned!$C$5:$C$2000,MONTH(AV$5+3))=0,"",MAX(1,MIN(5,SUMIFS(Måned!$H$5:$H$2000,Måned!$A$5:$A$2000,$A46,Måned!$C$5:$C$2000,MONTH(AV$5+3))+SUMPRODUCT((Vinduer!$A$5:$A$300=$A46)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6" s="19">
        <f>IF($A46="","",IF(COUNTIFS(Måned!$A$5:$A$2000,$A46,Måned!$C$5:$C$2000,MONTH(AW$5+3))=0,"",MAX(1,MIN(5,SUMIFS(Måned!$H$5:$H$2000,Måned!$A$5:$A$2000,$A46,Måned!$C$5:$C$2000,MONTH(AW$5+3))+SUMPRODUCT((Vinduer!$A$5:$A$300=$A46)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6" s="19">
        <f>IF($A46="","",IF(COUNTIFS(Måned!$A$5:$A$2000,$A46,Måned!$C$5:$C$2000,MONTH(AX$5+3))=0,"",MAX(1,MIN(5,SUMIFS(Måned!$H$5:$H$2000,Måned!$A$5:$A$2000,$A46,Måned!$C$5:$C$2000,MONTH(AX$5+3))+SUMPRODUCT((Vinduer!$A$5:$A$300=$A46)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6" s="19">
        <f>IF($A46="","",IF(COUNTIFS(Måned!$A$5:$A$2000,$A46,Måned!$C$5:$C$2000,MONTH(AY$5+3))=0,"",MAX(1,MIN(5,SUMIFS(Måned!$H$5:$H$2000,Måned!$A$5:$A$2000,$A46,Måned!$C$5:$C$2000,MONTH(AY$5+3))+SUMPRODUCT((Vinduer!$A$5:$A$300=$A46)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6" s="19">
        <f>IF($A46="","",IF(COUNTIFS(Måned!$A$5:$A$2000,$A46,Måned!$C$5:$C$2000,MONTH(AZ$5+3))=0,"",MAX(1,MIN(5,SUMIFS(Måned!$H$5:$H$2000,Måned!$A$5:$A$2000,$A46,Måned!$C$5:$C$2000,MONTH(AZ$5+3))+SUMPRODUCT((Vinduer!$A$5:$A$300=$A46)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6" s="19">
        <f>IF($A46="","",IF(COUNTIFS(Måned!$A$5:$A$2000,$A46,Måned!$C$5:$C$2000,MONTH(BA$5+3))=0,"",MAX(1,MIN(5,SUMIFS(Måned!$H$5:$H$2000,Måned!$A$5:$A$2000,$A46,Måned!$C$5:$C$2000,MONTH(BA$5+3))+SUMPRODUCT((Vinduer!$A$5:$A$300=$A46)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6" s="19">
        <f>IF($A46="","",IF(COUNTIFS(Måned!$A$5:$A$2000,$A46,Måned!$C$5:$C$2000,MONTH(BB$5+3))=0,"",MAX(1,MIN(5,SUMIFS(Måned!$H$5:$H$2000,Måned!$A$5:$A$2000,$A46,Måned!$C$5:$C$2000,MONTH(BB$5+3))+SUMPRODUCT((Vinduer!$A$5:$A$300=$A46)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6" s="19">
        <f>IF($A46="","",IF(COUNTIFS(Måned!$A$5:$A$2000,$A46,Måned!$C$5:$C$2000,MONTH(BC$5+3))=0,"",MAX(1,MIN(5,SUMIFS(Måned!$H$5:$H$2000,Måned!$A$5:$A$2000,$A46,Måned!$C$5:$C$2000,MONTH(BC$5+3))+SUMPRODUCT((Vinduer!$A$5:$A$300=$A46)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6" s="19">
        <f>IF($A46="","",IF(COUNTIFS(Måned!$A$5:$A$2000,$A46,Måned!$C$5:$C$2000,MONTH(BD$5+3))=0,"",MAX(1,MIN(5,SUMIFS(Måned!$H$5:$H$2000,Måned!$A$5:$A$2000,$A46,Måned!$C$5:$C$2000,MONTH(BD$5+3))+SUMPRODUCT((Vinduer!$A$5:$A$300=$A46)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6" s="19">
        <f>IF($A46="","",IF(COUNTIFS(Måned!$A$5:$A$2000,$A46,Måned!$C$5:$C$2000,MONTH(BE$5+3))=0,"",MAX(1,MIN(5,SUMIFS(Måned!$H$5:$H$2000,Måned!$A$5:$A$2000,$A46,Måned!$C$5:$C$2000,MONTH(BE$5+3))+SUMPRODUCT((Vinduer!$A$5:$A$300=$A46)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7">
      <c r="A47" s="5">
        <f>IF(Destinasjoner!A43="","",Destinasjoner!A43)</f>
        <v/>
      </c>
      <c r="B47" s="5">
        <f>IF(A47="","",Destinasjoner!E43)</f>
        <v/>
      </c>
      <c r="C47" s="5">
        <f>IF(A47="","",Destinasjoner!B43)</f>
        <v/>
      </c>
      <c r="D47" s="17">
        <f>IFERROR(SUMIFS(F47:BE47,$F$7:$BE$7,"x")/COUNTIFS($F$7:$BE$7,"x",F47:BE47,"&gt;0"),"")</f>
        <v/>
      </c>
      <c r="E47" s="18">
        <f>IF(D47="","",_xlfn.MINIFS(F47:BE47,$F$7:$BE$7,"x",F47:BE47,"&gt;0"))</f>
        <v/>
      </c>
      <c r="F47" s="19">
        <f>IF($A47="","",IF(COUNTIFS(Måned!$A$5:$A$2000,$A47,Måned!$C$5:$C$2000,MONTH(F$5+3))=0,"",MAX(1,MIN(5,SUMIFS(Måned!$H$5:$H$2000,Måned!$A$5:$A$2000,$A47,Måned!$C$5:$C$2000,MONTH(F$5+3))+SUMPRODUCT((Vinduer!$A$5:$A$300=$A47)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7" s="19">
        <f>IF($A47="","",IF(COUNTIFS(Måned!$A$5:$A$2000,$A47,Måned!$C$5:$C$2000,MONTH(G$5+3))=0,"",MAX(1,MIN(5,SUMIFS(Måned!$H$5:$H$2000,Måned!$A$5:$A$2000,$A47,Måned!$C$5:$C$2000,MONTH(G$5+3))+SUMPRODUCT((Vinduer!$A$5:$A$300=$A47)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7" s="19">
        <f>IF($A47="","",IF(COUNTIFS(Måned!$A$5:$A$2000,$A47,Måned!$C$5:$C$2000,MONTH(H$5+3))=0,"",MAX(1,MIN(5,SUMIFS(Måned!$H$5:$H$2000,Måned!$A$5:$A$2000,$A47,Måned!$C$5:$C$2000,MONTH(H$5+3))+SUMPRODUCT((Vinduer!$A$5:$A$300=$A47)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7" s="19">
        <f>IF($A47="","",IF(COUNTIFS(Måned!$A$5:$A$2000,$A47,Måned!$C$5:$C$2000,MONTH(I$5+3))=0,"",MAX(1,MIN(5,SUMIFS(Måned!$H$5:$H$2000,Måned!$A$5:$A$2000,$A47,Måned!$C$5:$C$2000,MONTH(I$5+3))+SUMPRODUCT((Vinduer!$A$5:$A$300=$A47)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7" s="19">
        <f>IF($A47="","",IF(COUNTIFS(Måned!$A$5:$A$2000,$A47,Måned!$C$5:$C$2000,MONTH(J$5+3))=0,"",MAX(1,MIN(5,SUMIFS(Måned!$H$5:$H$2000,Måned!$A$5:$A$2000,$A47,Måned!$C$5:$C$2000,MONTH(J$5+3))+SUMPRODUCT((Vinduer!$A$5:$A$300=$A47)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7" s="19">
        <f>IF($A47="","",IF(COUNTIFS(Måned!$A$5:$A$2000,$A47,Måned!$C$5:$C$2000,MONTH(K$5+3))=0,"",MAX(1,MIN(5,SUMIFS(Måned!$H$5:$H$2000,Måned!$A$5:$A$2000,$A47,Måned!$C$5:$C$2000,MONTH(K$5+3))+SUMPRODUCT((Vinduer!$A$5:$A$300=$A47)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7" s="19">
        <f>IF($A47="","",IF(COUNTIFS(Måned!$A$5:$A$2000,$A47,Måned!$C$5:$C$2000,MONTH(L$5+3))=0,"",MAX(1,MIN(5,SUMIFS(Måned!$H$5:$H$2000,Måned!$A$5:$A$2000,$A47,Måned!$C$5:$C$2000,MONTH(L$5+3))+SUMPRODUCT((Vinduer!$A$5:$A$300=$A47)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7" s="19">
        <f>IF($A47="","",IF(COUNTIFS(Måned!$A$5:$A$2000,$A47,Måned!$C$5:$C$2000,MONTH(M$5+3))=0,"",MAX(1,MIN(5,SUMIFS(Måned!$H$5:$H$2000,Måned!$A$5:$A$2000,$A47,Måned!$C$5:$C$2000,MONTH(M$5+3))+SUMPRODUCT((Vinduer!$A$5:$A$300=$A47)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7" s="19">
        <f>IF($A47="","",IF(COUNTIFS(Måned!$A$5:$A$2000,$A47,Måned!$C$5:$C$2000,MONTH(N$5+3))=0,"",MAX(1,MIN(5,SUMIFS(Måned!$H$5:$H$2000,Måned!$A$5:$A$2000,$A47,Måned!$C$5:$C$2000,MONTH(N$5+3))+SUMPRODUCT((Vinduer!$A$5:$A$300=$A47)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7" s="19">
        <f>IF($A47="","",IF(COUNTIFS(Måned!$A$5:$A$2000,$A47,Måned!$C$5:$C$2000,MONTH(O$5+3))=0,"",MAX(1,MIN(5,SUMIFS(Måned!$H$5:$H$2000,Måned!$A$5:$A$2000,$A47,Måned!$C$5:$C$2000,MONTH(O$5+3))+SUMPRODUCT((Vinduer!$A$5:$A$300=$A47)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7" s="19">
        <f>IF($A47="","",IF(COUNTIFS(Måned!$A$5:$A$2000,$A47,Måned!$C$5:$C$2000,MONTH(P$5+3))=0,"",MAX(1,MIN(5,SUMIFS(Måned!$H$5:$H$2000,Måned!$A$5:$A$2000,$A47,Måned!$C$5:$C$2000,MONTH(P$5+3))+SUMPRODUCT((Vinduer!$A$5:$A$300=$A47)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7" s="19">
        <f>IF($A47="","",IF(COUNTIFS(Måned!$A$5:$A$2000,$A47,Måned!$C$5:$C$2000,MONTH(Q$5+3))=0,"",MAX(1,MIN(5,SUMIFS(Måned!$H$5:$H$2000,Måned!$A$5:$A$2000,$A47,Måned!$C$5:$C$2000,MONTH(Q$5+3))+SUMPRODUCT((Vinduer!$A$5:$A$300=$A47)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7" s="19">
        <f>IF($A47="","",IF(COUNTIFS(Måned!$A$5:$A$2000,$A47,Måned!$C$5:$C$2000,MONTH(R$5+3))=0,"",MAX(1,MIN(5,SUMIFS(Måned!$H$5:$H$2000,Måned!$A$5:$A$2000,$A47,Måned!$C$5:$C$2000,MONTH(R$5+3))+SUMPRODUCT((Vinduer!$A$5:$A$300=$A47)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7" s="19">
        <f>IF($A47="","",IF(COUNTIFS(Måned!$A$5:$A$2000,$A47,Måned!$C$5:$C$2000,MONTH(S$5+3))=0,"",MAX(1,MIN(5,SUMIFS(Måned!$H$5:$H$2000,Måned!$A$5:$A$2000,$A47,Måned!$C$5:$C$2000,MONTH(S$5+3))+SUMPRODUCT((Vinduer!$A$5:$A$300=$A47)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7" s="19">
        <f>IF($A47="","",IF(COUNTIFS(Måned!$A$5:$A$2000,$A47,Måned!$C$5:$C$2000,MONTH(T$5+3))=0,"",MAX(1,MIN(5,SUMIFS(Måned!$H$5:$H$2000,Måned!$A$5:$A$2000,$A47,Måned!$C$5:$C$2000,MONTH(T$5+3))+SUMPRODUCT((Vinduer!$A$5:$A$300=$A47)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7" s="19">
        <f>IF($A47="","",IF(COUNTIFS(Måned!$A$5:$A$2000,$A47,Måned!$C$5:$C$2000,MONTH(U$5+3))=0,"",MAX(1,MIN(5,SUMIFS(Måned!$H$5:$H$2000,Måned!$A$5:$A$2000,$A47,Måned!$C$5:$C$2000,MONTH(U$5+3))+SUMPRODUCT((Vinduer!$A$5:$A$300=$A47)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7" s="19">
        <f>IF($A47="","",IF(COUNTIFS(Måned!$A$5:$A$2000,$A47,Måned!$C$5:$C$2000,MONTH(V$5+3))=0,"",MAX(1,MIN(5,SUMIFS(Måned!$H$5:$H$2000,Måned!$A$5:$A$2000,$A47,Måned!$C$5:$C$2000,MONTH(V$5+3))+SUMPRODUCT((Vinduer!$A$5:$A$300=$A47)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7" s="19">
        <f>IF($A47="","",IF(COUNTIFS(Måned!$A$5:$A$2000,$A47,Måned!$C$5:$C$2000,MONTH(W$5+3))=0,"",MAX(1,MIN(5,SUMIFS(Måned!$H$5:$H$2000,Måned!$A$5:$A$2000,$A47,Måned!$C$5:$C$2000,MONTH(W$5+3))+SUMPRODUCT((Vinduer!$A$5:$A$300=$A47)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7" s="19">
        <f>IF($A47="","",IF(COUNTIFS(Måned!$A$5:$A$2000,$A47,Måned!$C$5:$C$2000,MONTH(X$5+3))=0,"",MAX(1,MIN(5,SUMIFS(Måned!$H$5:$H$2000,Måned!$A$5:$A$2000,$A47,Måned!$C$5:$C$2000,MONTH(X$5+3))+SUMPRODUCT((Vinduer!$A$5:$A$300=$A47)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7" s="19">
        <f>IF($A47="","",IF(COUNTIFS(Måned!$A$5:$A$2000,$A47,Måned!$C$5:$C$2000,MONTH(Y$5+3))=0,"",MAX(1,MIN(5,SUMIFS(Måned!$H$5:$H$2000,Måned!$A$5:$A$2000,$A47,Måned!$C$5:$C$2000,MONTH(Y$5+3))+SUMPRODUCT((Vinduer!$A$5:$A$300=$A47)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7" s="19">
        <f>IF($A47="","",IF(COUNTIFS(Måned!$A$5:$A$2000,$A47,Måned!$C$5:$C$2000,MONTH(Z$5+3))=0,"",MAX(1,MIN(5,SUMIFS(Måned!$H$5:$H$2000,Måned!$A$5:$A$2000,$A47,Måned!$C$5:$C$2000,MONTH(Z$5+3))+SUMPRODUCT((Vinduer!$A$5:$A$300=$A47)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7" s="19">
        <f>IF($A47="","",IF(COUNTIFS(Måned!$A$5:$A$2000,$A47,Måned!$C$5:$C$2000,MONTH(AA$5+3))=0,"",MAX(1,MIN(5,SUMIFS(Måned!$H$5:$H$2000,Måned!$A$5:$A$2000,$A47,Måned!$C$5:$C$2000,MONTH(AA$5+3))+SUMPRODUCT((Vinduer!$A$5:$A$300=$A47)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7" s="19">
        <f>IF($A47="","",IF(COUNTIFS(Måned!$A$5:$A$2000,$A47,Måned!$C$5:$C$2000,MONTH(AB$5+3))=0,"",MAX(1,MIN(5,SUMIFS(Måned!$H$5:$H$2000,Måned!$A$5:$A$2000,$A47,Måned!$C$5:$C$2000,MONTH(AB$5+3))+SUMPRODUCT((Vinduer!$A$5:$A$300=$A47)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7" s="19">
        <f>IF($A47="","",IF(COUNTIFS(Måned!$A$5:$A$2000,$A47,Måned!$C$5:$C$2000,MONTH(AC$5+3))=0,"",MAX(1,MIN(5,SUMIFS(Måned!$H$5:$H$2000,Måned!$A$5:$A$2000,$A47,Måned!$C$5:$C$2000,MONTH(AC$5+3))+SUMPRODUCT((Vinduer!$A$5:$A$300=$A47)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7" s="19">
        <f>IF($A47="","",IF(COUNTIFS(Måned!$A$5:$A$2000,$A47,Måned!$C$5:$C$2000,MONTH(AD$5+3))=0,"",MAX(1,MIN(5,SUMIFS(Måned!$H$5:$H$2000,Måned!$A$5:$A$2000,$A47,Måned!$C$5:$C$2000,MONTH(AD$5+3))+SUMPRODUCT((Vinduer!$A$5:$A$300=$A47)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7" s="19">
        <f>IF($A47="","",IF(COUNTIFS(Måned!$A$5:$A$2000,$A47,Måned!$C$5:$C$2000,MONTH(AE$5+3))=0,"",MAX(1,MIN(5,SUMIFS(Måned!$H$5:$H$2000,Måned!$A$5:$A$2000,$A47,Måned!$C$5:$C$2000,MONTH(AE$5+3))+SUMPRODUCT((Vinduer!$A$5:$A$300=$A47)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7" s="19">
        <f>IF($A47="","",IF(COUNTIFS(Måned!$A$5:$A$2000,$A47,Måned!$C$5:$C$2000,MONTH(AF$5+3))=0,"",MAX(1,MIN(5,SUMIFS(Måned!$H$5:$H$2000,Måned!$A$5:$A$2000,$A47,Måned!$C$5:$C$2000,MONTH(AF$5+3))+SUMPRODUCT((Vinduer!$A$5:$A$300=$A47)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7" s="19">
        <f>IF($A47="","",IF(COUNTIFS(Måned!$A$5:$A$2000,$A47,Måned!$C$5:$C$2000,MONTH(AG$5+3))=0,"",MAX(1,MIN(5,SUMIFS(Måned!$H$5:$H$2000,Måned!$A$5:$A$2000,$A47,Måned!$C$5:$C$2000,MONTH(AG$5+3))+SUMPRODUCT((Vinduer!$A$5:$A$300=$A47)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7" s="19">
        <f>IF($A47="","",IF(COUNTIFS(Måned!$A$5:$A$2000,$A47,Måned!$C$5:$C$2000,MONTH(AH$5+3))=0,"",MAX(1,MIN(5,SUMIFS(Måned!$H$5:$H$2000,Måned!$A$5:$A$2000,$A47,Måned!$C$5:$C$2000,MONTH(AH$5+3))+SUMPRODUCT((Vinduer!$A$5:$A$300=$A47)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7" s="19">
        <f>IF($A47="","",IF(COUNTIFS(Måned!$A$5:$A$2000,$A47,Måned!$C$5:$C$2000,MONTH(AI$5+3))=0,"",MAX(1,MIN(5,SUMIFS(Måned!$H$5:$H$2000,Måned!$A$5:$A$2000,$A47,Måned!$C$5:$C$2000,MONTH(AI$5+3))+SUMPRODUCT((Vinduer!$A$5:$A$300=$A47)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7" s="19">
        <f>IF($A47="","",IF(COUNTIFS(Måned!$A$5:$A$2000,$A47,Måned!$C$5:$C$2000,MONTH(AJ$5+3))=0,"",MAX(1,MIN(5,SUMIFS(Måned!$H$5:$H$2000,Måned!$A$5:$A$2000,$A47,Måned!$C$5:$C$2000,MONTH(AJ$5+3))+SUMPRODUCT((Vinduer!$A$5:$A$300=$A47)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7" s="19">
        <f>IF($A47="","",IF(COUNTIFS(Måned!$A$5:$A$2000,$A47,Måned!$C$5:$C$2000,MONTH(AK$5+3))=0,"",MAX(1,MIN(5,SUMIFS(Måned!$H$5:$H$2000,Måned!$A$5:$A$2000,$A47,Måned!$C$5:$C$2000,MONTH(AK$5+3))+SUMPRODUCT((Vinduer!$A$5:$A$300=$A47)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7" s="19">
        <f>IF($A47="","",IF(COUNTIFS(Måned!$A$5:$A$2000,$A47,Måned!$C$5:$C$2000,MONTH(AL$5+3))=0,"",MAX(1,MIN(5,SUMIFS(Måned!$H$5:$H$2000,Måned!$A$5:$A$2000,$A47,Måned!$C$5:$C$2000,MONTH(AL$5+3))+SUMPRODUCT((Vinduer!$A$5:$A$300=$A47)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7" s="19">
        <f>IF($A47="","",IF(COUNTIFS(Måned!$A$5:$A$2000,$A47,Måned!$C$5:$C$2000,MONTH(AM$5+3))=0,"",MAX(1,MIN(5,SUMIFS(Måned!$H$5:$H$2000,Måned!$A$5:$A$2000,$A47,Måned!$C$5:$C$2000,MONTH(AM$5+3))+SUMPRODUCT((Vinduer!$A$5:$A$300=$A47)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7" s="19">
        <f>IF($A47="","",IF(COUNTIFS(Måned!$A$5:$A$2000,$A47,Måned!$C$5:$C$2000,MONTH(AN$5+3))=0,"",MAX(1,MIN(5,SUMIFS(Måned!$H$5:$H$2000,Måned!$A$5:$A$2000,$A47,Måned!$C$5:$C$2000,MONTH(AN$5+3))+SUMPRODUCT((Vinduer!$A$5:$A$300=$A47)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7" s="19">
        <f>IF($A47="","",IF(COUNTIFS(Måned!$A$5:$A$2000,$A47,Måned!$C$5:$C$2000,MONTH(AO$5+3))=0,"",MAX(1,MIN(5,SUMIFS(Måned!$H$5:$H$2000,Måned!$A$5:$A$2000,$A47,Måned!$C$5:$C$2000,MONTH(AO$5+3))+SUMPRODUCT((Vinduer!$A$5:$A$300=$A47)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7" s="19">
        <f>IF($A47="","",IF(COUNTIFS(Måned!$A$5:$A$2000,$A47,Måned!$C$5:$C$2000,MONTH(AP$5+3))=0,"",MAX(1,MIN(5,SUMIFS(Måned!$H$5:$H$2000,Måned!$A$5:$A$2000,$A47,Måned!$C$5:$C$2000,MONTH(AP$5+3))+SUMPRODUCT((Vinduer!$A$5:$A$300=$A47)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7" s="19">
        <f>IF($A47="","",IF(COUNTIFS(Måned!$A$5:$A$2000,$A47,Måned!$C$5:$C$2000,MONTH(AQ$5+3))=0,"",MAX(1,MIN(5,SUMIFS(Måned!$H$5:$H$2000,Måned!$A$5:$A$2000,$A47,Måned!$C$5:$C$2000,MONTH(AQ$5+3))+SUMPRODUCT((Vinduer!$A$5:$A$300=$A47)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7" s="19">
        <f>IF($A47="","",IF(COUNTIFS(Måned!$A$5:$A$2000,$A47,Måned!$C$5:$C$2000,MONTH(AR$5+3))=0,"",MAX(1,MIN(5,SUMIFS(Måned!$H$5:$H$2000,Måned!$A$5:$A$2000,$A47,Måned!$C$5:$C$2000,MONTH(AR$5+3))+SUMPRODUCT((Vinduer!$A$5:$A$300=$A47)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7" s="19">
        <f>IF($A47="","",IF(COUNTIFS(Måned!$A$5:$A$2000,$A47,Måned!$C$5:$C$2000,MONTH(AS$5+3))=0,"",MAX(1,MIN(5,SUMIFS(Måned!$H$5:$H$2000,Måned!$A$5:$A$2000,$A47,Måned!$C$5:$C$2000,MONTH(AS$5+3))+SUMPRODUCT((Vinduer!$A$5:$A$300=$A47)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7" s="19">
        <f>IF($A47="","",IF(COUNTIFS(Måned!$A$5:$A$2000,$A47,Måned!$C$5:$C$2000,MONTH(AT$5+3))=0,"",MAX(1,MIN(5,SUMIFS(Måned!$H$5:$H$2000,Måned!$A$5:$A$2000,$A47,Måned!$C$5:$C$2000,MONTH(AT$5+3))+SUMPRODUCT((Vinduer!$A$5:$A$300=$A47)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7" s="19">
        <f>IF($A47="","",IF(COUNTIFS(Måned!$A$5:$A$2000,$A47,Måned!$C$5:$C$2000,MONTH(AU$5+3))=0,"",MAX(1,MIN(5,SUMIFS(Måned!$H$5:$H$2000,Måned!$A$5:$A$2000,$A47,Måned!$C$5:$C$2000,MONTH(AU$5+3))+SUMPRODUCT((Vinduer!$A$5:$A$300=$A47)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7" s="19">
        <f>IF($A47="","",IF(COUNTIFS(Måned!$A$5:$A$2000,$A47,Måned!$C$5:$C$2000,MONTH(AV$5+3))=0,"",MAX(1,MIN(5,SUMIFS(Måned!$H$5:$H$2000,Måned!$A$5:$A$2000,$A47,Måned!$C$5:$C$2000,MONTH(AV$5+3))+SUMPRODUCT((Vinduer!$A$5:$A$300=$A47)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7" s="19">
        <f>IF($A47="","",IF(COUNTIFS(Måned!$A$5:$A$2000,$A47,Måned!$C$5:$C$2000,MONTH(AW$5+3))=0,"",MAX(1,MIN(5,SUMIFS(Måned!$H$5:$H$2000,Måned!$A$5:$A$2000,$A47,Måned!$C$5:$C$2000,MONTH(AW$5+3))+SUMPRODUCT((Vinduer!$A$5:$A$300=$A47)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7" s="19">
        <f>IF($A47="","",IF(COUNTIFS(Måned!$A$5:$A$2000,$A47,Måned!$C$5:$C$2000,MONTH(AX$5+3))=0,"",MAX(1,MIN(5,SUMIFS(Måned!$H$5:$H$2000,Måned!$A$5:$A$2000,$A47,Måned!$C$5:$C$2000,MONTH(AX$5+3))+SUMPRODUCT((Vinduer!$A$5:$A$300=$A47)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7" s="19">
        <f>IF($A47="","",IF(COUNTIFS(Måned!$A$5:$A$2000,$A47,Måned!$C$5:$C$2000,MONTH(AY$5+3))=0,"",MAX(1,MIN(5,SUMIFS(Måned!$H$5:$H$2000,Måned!$A$5:$A$2000,$A47,Måned!$C$5:$C$2000,MONTH(AY$5+3))+SUMPRODUCT((Vinduer!$A$5:$A$300=$A47)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7" s="19">
        <f>IF($A47="","",IF(COUNTIFS(Måned!$A$5:$A$2000,$A47,Måned!$C$5:$C$2000,MONTH(AZ$5+3))=0,"",MAX(1,MIN(5,SUMIFS(Måned!$H$5:$H$2000,Måned!$A$5:$A$2000,$A47,Måned!$C$5:$C$2000,MONTH(AZ$5+3))+SUMPRODUCT((Vinduer!$A$5:$A$300=$A47)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7" s="19">
        <f>IF($A47="","",IF(COUNTIFS(Måned!$A$5:$A$2000,$A47,Måned!$C$5:$C$2000,MONTH(BA$5+3))=0,"",MAX(1,MIN(5,SUMIFS(Måned!$H$5:$H$2000,Måned!$A$5:$A$2000,$A47,Måned!$C$5:$C$2000,MONTH(BA$5+3))+SUMPRODUCT((Vinduer!$A$5:$A$300=$A47)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7" s="19">
        <f>IF($A47="","",IF(COUNTIFS(Måned!$A$5:$A$2000,$A47,Måned!$C$5:$C$2000,MONTH(BB$5+3))=0,"",MAX(1,MIN(5,SUMIFS(Måned!$H$5:$H$2000,Måned!$A$5:$A$2000,$A47,Måned!$C$5:$C$2000,MONTH(BB$5+3))+SUMPRODUCT((Vinduer!$A$5:$A$300=$A47)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7" s="19">
        <f>IF($A47="","",IF(COUNTIFS(Måned!$A$5:$A$2000,$A47,Måned!$C$5:$C$2000,MONTH(BC$5+3))=0,"",MAX(1,MIN(5,SUMIFS(Måned!$H$5:$H$2000,Måned!$A$5:$A$2000,$A47,Måned!$C$5:$C$2000,MONTH(BC$5+3))+SUMPRODUCT((Vinduer!$A$5:$A$300=$A47)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7" s="19">
        <f>IF($A47="","",IF(COUNTIFS(Måned!$A$5:$A$2000,$A47,Måned!$C$5:$C$2000,MONTH(BD$5+3))=0,"",MAX(1,MIN(5,SUMIFS(Måned!$H$5:$H$2000,Måned!$A$5:$A$2000,$A47,Måned!$C$5:$C$2000,MONTH(BD$5+3))+SUMPRODUCT((Vinduer!$A$5:$A$300=$A47)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7" s="19">
        <f>IF($A47="","",IF(COUNTIFS(Måned!$A$5:$A$2000,$A47,Måned!$C$5:$C$2000,MONTH(BE$5+3))=0,"",MAX(1,MIN(5,SUMIFS(Måned!$H$5:$H$2000,Måned!$A$5:$A$2000,$A47,Måned!$C$5:$C$2000,MONTH(BE$5+3))+SUMPRODUCT((Vinduer!$A$5:$A$300=$A47)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8">
      <c r="A48" s="5">
        <f>IF(Destinasjoner!A44="","",Destinasjoner!A44)</f>
        <v/>
      </c>
      <c r="B48" s="5">
        <f>IF(A48="","",Destinasjoner!E44)</f>
        <v/>
      </c>
      <c r="C48" s="5">
        <f>IF(A48="","",Destinasjoner!B44)</f>
        <v/>
      </c>
      <c r="D48" s="17">
        <f>IFERROR(SUMIFS(F48:BE48,$F$7:$BE$7,"x")/COUNTIFS($F$7:$BE$7,"x",F48:BE48,"&gt;0"),"")</f>
        <v/>
      </c>
      <c r="E48" s="18">
        <f>IF(D48="","",_xlfn.MINIFS(F48:BE48,$F$7:$BE$7,"x",F48:BE48,"&gt;0"))</f>
        <v/>
      </c>
      <c r="F48" s="19">
        <f>IF($A48="","",IF(COUNTIFS(Måned!$A$5:$A$2000,$A48,Måned!$C$5:$C$2000,MONTH(F$5+3))=0,"",MAX(1,MIN(5,SUMIFS(Måned!$H$5:$H$2000,Måned!$A$5:$A$2000,$A48,Måned!$C$5:$C$2000,MONTH(F$5+3))+SUMPRODUCT((Vinduer!$A$5:$A$300=$A48)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8" s="19">
        <f>IF($A48="","",IF(COUNTIFS(Måned!$A$5:$A$2000,$A48,Måned!$C$5:$C$2000,MONTH(G$5+3))=0,"",MAX(1,MIN(5,SUMIFS(Måned!$H$5:$H$2000,Måned!$A$5:$A$2000,$A48,Måned!$C$5:$C$2000,MONTH(G$5+3))+SUMPRODUCT((Vinduer!$A$5:$A$300=$A48)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8" s="19">
        <f>IF($A48="","",IF(COUNTIFS(Måned!$A$5:$A$2000,$A48,Måned!$C$5:$C$2000,MONTH(H$5+3))=0,"",MAX(1,MIN(5,SUMIFS(Måned!$H$5:$H$2000,Måned!$A$5:$A$2000,$A48,Måned!$C$5:$C$2000,MONTH(H$5+3))+SUMPRODUCT((Vinduer!$A$5:$A$300=$A48)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8" s="19">
        <f>IF($A48="","",IF(COUNTIFS(Måned!$A$5:$A$2000,$A48,Måned!$C$5:$C$2000,MONTH(I$5+3))=0,"",MAX(1,MIN(5,SUMIFS(Måned!$H$5:$H$2000,Måned!$A$5:$A$2000,$A48,Måned!$C$5:$C$2000,MONTH(I$5+3))+SUMPRODUCT((Vinduer!$A$5:$A$300=$A48)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8" s="19">
        <f>IF($A48="","",IF(COUNTIFS(Måned!$A$5:$A$2000,$A48,Måned!$C$5:$C$2000,MONTH(J$5+3))=0,"",MAX(1,MIN(5,SUMIFS(Måned!$H$5:$H$2000,Måned!$A$5:$A$2000,$A48,Måned!$C$5:$C$2000,MONTH(J$5+3))+SUMPRODUCT((Vinduer!$A$5:$A$300=$A48)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8" s="19">
        <f>IF($A48="","",IF(COUNTIFS(Måned!$A$5:$A$2000,$A48,Måned!$C$5:$C$2000,MONTH(K$5+3))=0,"",MAX(1,MIN(5,SUMIFS(Måned!$H$5:$H$2000,Måned!$A$5:$A$2000,$A48,Måned!$C$5:$C$2000,MONTH(K$5+3))+SUMPRODUCT((Vinduer!$A$5:$A$300=$A48)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8" s="19">
        <f>IF($A48="","",IF(COUNTIFS(Måned!$A$5:$A$2000,$A48,Måned!$C$5:$C$2000,MONTH(L$5+3))=0,"",MAX(1,MIN(5,SUMIFS(Måned!$H$5:$H$2000,Måned!$A$5:$A$2000,$A48,Måned!$C$5:$C$2000,MONTH(L$5+3))+SUMPRODUCT((Vinduer!$A$5:$A$300=$A48)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8" s="19">
        <f>IF($A48="","",IF(COUNTIFS(Måned!$A$5:$A$2000,$A48,Måned!$C$5:$C$2000,MONTH(M$5+3))=0,"",MAX(1,MIN(5,SUMIFS(Måned!$H$5:$H$2000,Måned!$A$5:$A$2000,$A48,Måned!$C$5:$C$2000,MONTH(M$5+3))+SUMPRODUCT((Vinduer!$A$5:$A$300=$A48)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8" s="19">
        <f>IF($A48="","",IF(COUNTIFS(Måned!$A$5:$A$2000,$A48,Måned!$C$5:$C$2000,MONTH(N$5+3))=0,"",MAX(1,MIN(5,SUMIFS(Måned!$H$5:$H$2000,Måned!$A$5:$A$2000,$A48,Måned!$C$5:$C$2000,MONTH(N$5+3))+SUMPRODUCT((Vinduer!$A$5:$A$300=$A48)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8" s="19">
        <f>IF($A48="","",IF(COUNTIFS(Måned!$A$5:$A$2000,$A48,Måned!$C$5:$C$2000,MONTH(O$5+3))=0,"",MAX(1,MIN(5,SUMIFS(Måned!$H$5:$H$2000,Måned!$A$5:$A$2000,$A48,Måned!$C$5:$C$2000,MONTH(O$5+3))+SUMPRODUCT((Vinduer!$A$5:$A$300=$A48)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8" s="19">
        <f>IF($A48="","",IF(COUNTIFS(Måned!$A$5:$A$2000,$A48,Måned!$C$5:$C$2000,MONTH(P$5+3))=0,"",MAX(1,MIN(5,SUMIFS(Måned!$H$5:$H$2000,Måned!$A$5:$A$2000,$A48,Måned!$C$5:$C$2000,MONTH(P$5+3))+SUMPRODUCT((Vinduer!$A$5:$A$300=$A48)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8" s="19">
        <f>IF($A48="","",IF(COUNTIFS(Måned!$A$5:$A$2000,$A48,Måned!$C$5:$C$2000,MONTH(Q$5+3))=0,"",MAX(1,MIN(5,SUMIFS(Måned!$H$5:$H$2000,Måned!$A$5:$A$2000,$A48,Måned!$C$5:$C$2000,MONTH(Q$5+3))+SUMPRODUCT((Vinduer!$A$5:$A$300=$A48)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8" s="19">
        <f>IF($A48="","",IF(COUNTIFS(Måned!$A$5:$A$2000,$A48,Måned!$C$5:$C$2000,MONTH(R$5+3))=0,"",MAX(1,MIN(5,SUMIFS(Måned!$H$5:$H$2000,Måned!$A$5:$A$2000,$A48,Måned!$C$5:$C$2000,MONTH(R$5+3))+SUMPRODUCT((Vinduer!$A$5:$A$300=$A48)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8" s="19">
        <f>IF($A48="","",IF(COUNTIFS(Måned!$A$5:$A$2000,$A48,Måned!$C$5:$C$2000,MONTH(S$5+3))=0,"",MAX(1,MIN(5,SUMIFS(Måned!$H$5:$H$2000,Måned!$A$5:$A$2000,$A48,Måned!$C$5:$C$2000,MONTH(S$5+3))+SUMPRODUCT((Vinduer!$A$5:$A$300=$A48)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8" s="19">
        <f>IF($A48="","",IF(COUNTIFS(Måned!$A$5:$A$2000,$A48,Måned!$C$5:$C$2000,MONTH(T$5+3))=0,"",MAX(1,MIN(5,SUMIFS(Måned!$H$5:$H$2000,Måned!$A$5:$A$2000,$A48,Måned!$C$5:$C$2000,MONTH(T$5+3))+SUMPRODUCT((Vinduer!$A$5:$A$300=$A48)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8" s="19">
        <f>IF($A48="","",IF(COUNTIFS(Måned!$A$5:$A$2000,$A48,Måned!$C$5:$C$2000,MONTH(U$5+3))=0,"",MAX(1,MIN(5,SUMIFS(Måned!$H$5:$H$2000,Måned!$A$5:$A$2000,$A48,Måned!$C$5:$C$2000,MONTH(U$5+3))+SUMPRODUCT((Vinduer!$A$5:$A$300=$A48)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8" s="19">
        <f>IF($A48="","",IF(COUNTIFS(Måned!$A$5:$A$2000,$A48,Måned!$C$5:$C$2000,MONTH(V$5+3))=0,"",MAX(1,MIN(5,SUMIFS(Måned!$H$5:$H$2000,Måned!$A$5:$A$2000,$A48,Måned!$C$5:$C$2000,MONTH(V$5+3))+SUMPRODUCT((Vinduer!$A$5:$A$300=$A48)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8" s="19">
        <f>IF($A48="","",IF(COUNTIFS(Måned!$A$5:$A$2000,$A48,Måned!$C$5:$C$2000,MONTH(W$5+3))=0,"",MAX(1,MIN(5,SUMIFS(Måned!$H$5:$H$2000,Måned!$A$5:$A$2000,$A48,Måned!$C$5:$C$2000,MONTH(W$5+3))+SUMPRODUCT((Vinduer!$A$5:$A$300=$A48)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8" s="19">
        <f>IF($A48="","",IF(COUNTIFS(Måned!$A$5:$A$2000,$A48,Måned!$C$5:$C$2000,MONTH(X$5+3))=0,"",MAX(1,MIN(5,SUMIFS(Måned!$H$5:$H$2000,Måned!$A$5:$A$2000,$A48,Måned!$C$5:$C$2000,MONTH(X$5+3))+SUMPRODUCT((Vinduer!$A$5:$A$300=$A48)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8" s="19">
        <f>IF($A48="","",IF(COUNTIFS(Måned!$A$5:$A$2000,$A48,Måned!$C$5:$C$2000,MONTH(Y$5+3))=0,"",MAX(1,MIN(5,SUMIFS(Måned!$H$5:$H$2000,Måned!$A$5:$A$2000,$A48,Måned!$C$5:$C$2000,MONTH(Y$5+3))+SUMPRODUCT((Vinduer!$A$5:$A$300=$A48)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8" s="19">
        <f>IF($A48="","",IF(COUNTIFS(Måned!$A$5:$A$2000,$A48,Måned!$C$5:$C$2000,MONTH(Z$5+3))=0,"",MAX(1,MIN(5,SUMIFS(Måned!$H$5:$H$2000,Måned!$A$5:$A$2000,$A48,Måned!$C$5:$C$2000,MONTH(Z$5+3))+SUMPRODUCT((Vinduer!$A$5:$A$300=$A48)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8" s="19">
        <f>IF($A48="","",IF(COUNTIFS(Måned!$A$5:$A$2000,$A48,Måned!$C$5:$C$2000,MONTH(AA$5+3))=0,"",MAX(1,MIN(5,SUMIFS(Måned!$H$5:$H$2000,Måned!$A$5:$A$2000,$A48,Måned!$C$5:$C$2000,MONTH(AA$5+3))+SUMPRODUCT((Vinduer!$A$5:$A$300=$A48)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8" s="19">
        <f>IF($A48="","",IF(COUNTIFS(Måned!$A$5:$A$2000,$A48,Måned!$C$5:$C$2000,MONTH(AB$5+3))=0,"",MAX(1,MIN(5,SUMIFS(Måned!$H$5:$H$2000,Måned!$A$5:$A$2000,$A48,Måned!$C$5:$C$2000,MONTH(AB$5+3))+SUMPRODUCT((Vinduer!$A$5:$A$300=$A48)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8" s="19">
        <f>IF($A48="","",IF(COUNTIFS(Måned!$A$5:$A$2000,$A48,Måned!$C$5:$C$2000,MONTH(AC$5+3))=0,"",MAX(1,MIN(5,SUMIFS(Måned!$H$5:$H$2000,Måned!$A$5:$A$2000,$A48,Måned!$C$5:$C$2000,MONTH(AC$5+3))+SUMPRODUCT((Vinduer!$A$5:$A$300=$A48)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8" s="19">
        <f>IF($A48="","",IF(COUNTIFS(Måned!$A$5:$A$2000,$A48,Måned!$C$5:$C$2000,MONTH(AD$5+3))=0,"",MAX(1,MIN(5,SUMIFS(Måned!$H$5:$H$2000,Måned!$A$5:$A$2000,$A48,Måned!$C$5:$C$2000,MONTH(AD$5+3))+SUMPRODUCT((Vinduer!$A$5:$A$300=$A48)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8" s="19">
        <f>IF($A48="","",IF(COUNTIFS(Måned!$A$5:$A$2000,$A48,Måned!$C$5:$C$2000,MONTH(AE$5+3))=0,"",MAX(1,MIN(5,SUMIFS(Måned!$H$5:$H$2000,Måned!$A$5:$A$2000,$A48,Måned!$C$5:$C$2000,MONTH(AE$5+3))+SUMPRODUCT((Vinduer!$A$5:$A$300=$A48)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8" s="19">
        <f>IF($A48="","",IF(COUNTIFS(Måned!$A$5:$A$2000,$A48,Måned!$C$5:$C$2000,MONTH(AF$5+3))=0,"",MAX(1,MIN(5,SUMIFS(Måned!$H$5:$H$2000,Måned!$A$5:$A$2000,$A48,Måned!$C$5:$C$2000,MONTH(AF$5+3))+SUMPRODUCT((Vinduer!$A$5:$A$300=$A48)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8" s="19">
        <f>IF($A48="","",IF(COUNTIFS(Måned!$A$5:$A$2000,$A48,Måned!$C$5:$C$2000,MONTH(AG$5+3))=0,"",MAX(1,MIN(5,SUMIFS(Måned!$H$5:$H$2000,Måned!$A$5:$A$2000,$A48,Måned!$C$5:$C$2000,MONTH(AG$5+3))+SUMPRODUCT((Vinduer!$A$5:$A$300=$A48)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8" s="19">
        <f>IF($A48="","",IF(COUNTIFS(Måned!$A$5:$A$2000,$A48,Måned!$C$5:$C$2000,MONTH(AH$5+3))=0,"",MAX(1,MIN(5,SUMIFS(Måned!$H$5:$H$2000,Måned!$A$5:$A$2000,$A48,Måned!$C$5:$C$2000,MONTH(AH$5+3))+SUMPRODUCT((Vinduer!$A$5:$A$300=$A48)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8" s="19">
        <f>IF($A48="","",IF(COUNTIFS(Måned!$A$5:$A$2000,$A48,Måned!$C$5:$C$2000,MONTH(AI$5+3))=0,"",MAX(1,MIN(5,SUMIFS(Måned!$H$5:$H$2000,Måned!$A$5:$A$2000,$A48,Måned!$C$5:$C$2000,MONTH(AI$5+3))+SUMPRODUCT((Vinduer!$A$5:$A$300=$A48)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8" s="19">
        <f>IF($A48="","",IF(COUNTIFS(Måned!$A$5:$A$2000,$A48,Måned!$C$5:$C$2000,MONTH(AJ$5+3))=0,"",MAX(1,MIN(5,SUMIFS(Måned!$H$5:$H$2000,Måned!$A$5:$A$2000,$A48,Måned!$C$5:$C$2000,MONTH(AJ$5+3))+SUMPRODUCT((Vinduer!$A$5:$A$300=$A48)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8" s="19">
        <f>IF($A48="","",IF(COUNTIFS(Måned!$A$5:$A$2000,$A48,Måned!$C$5:$C$2000,MONTH(AK$5+3))=0,"",MAX(1,MIN(5,SUMIFS(Måned!$H$5:$H$2000,Måned!$A$5:$A$2000,$A48,Måned!$C$5:$C$2000,MONTH(AK$5+3))+SUMPRODUCT((Vinduer!$A$5:$A$300=$A48)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8" s="19">
        <f>IF($A48="","",IF(COUNTIFS(Måned!$A$5:$A$2000,$A48,Måned!$C$5:$C$2000,MONTH(AL$5+3))=0,"",MAX(1,MIN(5,SUMIFS(Måned!$H$5:$H$2000,Måned!$A$5:$A$2000,$A48,Måned!$C$5:$C$2000,MONTH(AL$5+3))+SUMPRODUCT((Vinduer!$A$5:$A$300=$A48)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8" s="19">
        <f>IF($A48="","",IF(COUNTIFS(Måned!$A$5:$A$2000,$A48,Måned!$C$5:$C$2000,MONTH(AM$5+3))=0,"",MAX(1,MIN(5,SUMIFS(Måned!$H$5:$H$2000,Måned!$A$5:$A$2000,$A48,Måned!$C$5:$C$2000,MONTH(AM$5+3))+SUMPRODUCT((Vinduer!$A$5:$A$300=$A48)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8" s="19">
        <f>IF($A48="","",IF(COUNTIFS(Måned!$A$5:$A$2000,$A48,Måned!$C$5:$C$2000,MONTH(AN$5+3))=0,"",MAX(1,MIN(5,SUMIFS(Måned!$H$5:$H$2000,Måned!$A$5:$A$2000,$A48,Måned!$C$5:$C$2000,MONTH(AN$5+3))+SUMPRODUCT((Vinduer!$A$5:$A$300=$A48)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8" s="19">
        <f>IF($A48="","",IF(COUNTIFS(Måned!$A$5:$A$2000,$A48,Måned!$C$5:$C$2000,MONTH(AO$5+3))=0,"",MAX(1,MIN(5,SUMIFS(Måned!$H$5:$H$2000,Måned!$A$5:$A$2000,$A48,Måned!$C$5:$C$2000,MONTH(AO$5+3))+SUMPRODUCT((Vinduer!$A$5:$A$300=$A48)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8" s="19">
        <f>IF($A48="","",IF(COUNTIFS(Måned!$A$5:$A$2000,$A48,Måned!$C$5:$C$2000,MONTH(AP$5+3))=0,"",MAX(1,MIN(5,SUMIFS(Måned!$H$5:$H$2000,Måned!$A$5:$A$2000,$A48,Måned!$C$5:$C$2000,MONTH(AP$5+3))+SUMPRODUCT((Vinduer!$A$5:$A$300=$A48)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8" s="19">
        <f>IF($A48="","",IF(COUNTIFS(Måned!$A$5:$A$2000,$A48,Måned!$C$5:$C$2000,MONTH(AQ$5+3))=0,"",MAX(1,MIN(5,SUMIFS(Måned!$H$5:$H$2000,Måned!$A$5:$A$2000,$A48,Måned!$C$5:$C$2000,MONTH(AQ$5+3))+SUMPRODUCT((Vinduer!$A$5:$A$300=$A48)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8" s="19">
        <f>IF($A48="","",IF(COUNTIFS(Måned!$A$5:$A$2000,$A48,Måned!$C$5:$C$2000,MONTH(AR$5+3))=0,"",MAX(1,MIN(5,SUMIFS(Måned!$H$5:$H$2000,Måned!$A$5:$A$2000,$A48,Måned!$C$5:$C$2000,MONTH(AR$5+3))+SUMPRODUCT((Vinduer!$A$5:$A$300=$A48)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8" s="19">
        <f>IF($A48="","",IF(COUNTIFS(Måned!$A$5:$A$2000,$A48,Måned!$C$5:$C$2000,MONTH(AS$5+3))=0,"",MAX(1,MIN(5,SUMIFS(Måned!$H$5:$H$2000,Måned!$A$5:$A$2000,$A48,Måned!$C$5:$C$2000,MONTH(AS$5+3))+SUMPRODUCT((Vinduer!$A$5:$A$300=$A48)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8" s="19">
        <f>IF($A48="","",IF(COUNTIFS(Måned!$A$5:$A$2000,$A48,Måned!$C$5:$C$2000,MONTH(AT$5+3))=0,"",MAX(1,MIN(5,SUMIFS(Måned!$H$5:$H$2000,Måned!$A$5:$A$2000,$A48,Måned!$C$5:$C$2000,MONTH(AT$5+3))+SUMPRODUCT((Vinduer!$A$5:$A$300=$A48)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8" s="19">
        <f>IF($A48="","",IF(COUNTIFS(Måned!$A$5:$A$2000,$A48,Måned!$C$5:$C$2000,MONTH(AU$5+3))=0,"",MAX(1,MIN(5,SUMIFS(Måned!$H$5:$H$2000,Måned!$A$5:$A$2000,$A48,Måned!$C$5:$C$2000,MONTH(AU$5+3))+SUMPRODUCT((Vinduer!$A$5:$A$300=$A48)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8" s="19">
        <f>IF($A48="","",IF(COUNTIFS(Måned!$A$5:$A$2000,$A48,Måned!$C$5:$C$2000,MONTH(AV$5+3))=0,"",MAX(1,MIN(5,SUMIFS(Måned!$H$5:$H$2000,Måned!$A$5:$A$2000,$A48,Måned!$C$5:$C$2000,MONTH(AV$5+3))+SUMPRODUCT((Vinduer!$A$5:$A$300=$A48)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8" s="19">
        <f>IF($A48="","",IF(COUNTIFS(Måned!$A$5:$A$2000,$A48,Måned!$C$5:$C$2000,MONTH(AW$5+3))=0,"",MAX(1,MIN(5,SUMIFS(Måned!$H$5:$H$2000,Måned!$A$5:$A$2000,$A48,Måned!$C$5:$C$2000,MONTH(AW$5+3))+SUMPRODUCT((Vinduer!$A$5:$A$300=$A48)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8" s="19">
        <f>IF($A48="","",IF(COUNTIFS(Måned!$A$5:$A$2000,$A48,Måned!$C$5:$C$2000,MONTH(AX$5+3))=0,"",MAX(1,MIN(5,SUMIFS(Måned!$H$5:$H$2000,Måned!$A$5:$A$2000,$A48,Måned!$C$5:$C$2000,MONTH(AX$5+3))+SUMPRODUCT((Vinduer!$A$5:$A$300=$A48)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8" s="19">
        <f>IF($A48="","",IF(COUNTIFS(Måned!$A$5:$A$2000,$A48,Måned!$C$5:$C$2000,MONTH(AY$5+3))=0,"",MAX(1,MIN(5,SUMIFS(Måned!$H$5:$H$2000,Måned!$A$5:$A$2000,$A48,Måned!$C$5:$C$2000,MONTH(AY$5+3))+SUMPRODUCT((Vinduer!$A$5:$A$300=$A48)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8" s="19">
        <f>IF($A48="","",IF(COUNTIFS(Måned!$A$5:$A$2000,$A48,Måned!$C$5:$C$2000,MONTH(AZ$5+3))=0,"",MAX(1,MIN(5,SUMIFS(Måned!$H$5:$H$2000,Måned!$A$5:$A$2000,$A48,Måned!$C$5:$C$2000,MONTH(AZ$5+3))+SUMPRODUCT((Vinduer!$A$5:$A$300=$A48)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8" s="19">
        <f>IF($A48="","",IF(COUNTIFS(Måned!$A$5:$A$2000,$A48,Måned!$C$5:$C$2000,MONTH(BA$5+3))=0,"",MAX(1,MIN(5,SUMIFS(Måned!$H$5:$H$2000,Måned!$A$5:$A$2000,$A48,Måned!$C$5:$C$2000,MONTH(BA$5+3))+SUMPRODUCT((Vinduer!$A$5:$A$300=$A48)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8" s="19">
        <f>IF($A48="","",IF(COUNTIFS(Måned!$A$5:$A$2000,$A48,Måned!$C$5:$C$2000,MONTH(BB$5+3))=0,"",MAX(1,MIN(5,SUMIFS(Måned!$H$5:$H$2000,Måned!$A$5:$A$2000,$A48,Måned!$C$5:$C$2000,MONTH(BB$5+3))+SUMPRODUCT((Vinduer!$A$5:$A$300=$A48)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8" s="19">
        <f>IF($A48="","",IF(COUNTIFS(Måned!$A$5:$A$2000,$A48,Måned!$C$5:$C$2000,MONTH(BC$5+3))=0,"",MAX(1,MIN(5,SUMIFS(Måned!$H$5:$H$2000,Måned!$A$5:$A$2000,$A48,Måned!$C$5:$C$2000,MONTH(BC$5+3))+SUMPRODUCT((Vinduer!$A$5:$A$300=$A48)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8" s="19">
        <f>IF($A48="","",IF(COUNTIFS(Måned!$A$5:$A$2000,$A48,Måned!$C$5:$C$2000,MONTH(BD$5+3))=0,"",MAX(1,MIN(5,SUMIFS(Måned!$H$5:$H$2000,Måned!$A$5:$A$2000,$A48,Måned!$C$5:$C$2000,MONTH(BD$5+3))+SUMPRODUCT((Vinduer!$A$5:$A$300=$A48)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8" s="19">
        <f>IF($A48="","",IF(COUNTIFS(Måned!$A$5:$A$2000,$A48,Måned!$C$5:$C$2000,MONTH(BE$5+3))=0,"",MAX(1,MIN(5,SUMIFS(Måned!$H$5:$H$2000,Måned!$A$5:$A$2000,$A48,Måned!$C$5:$C$2000,MONTH(BE$5+3))+SUMPRODUCT((Vinduer!$A$5:$A$300=$A48)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49">
      <c r="A49" s="5">
        <f>IF(Destinasjoner!A45="","",Destinasjoner!A45)</f>
        <v/>
      </c>
      <c r="B49" s="5">
        <f>IF(A49="","",Destinasjoner!E45)</f>
        <v/>
      </c>
      <c r="C49" s="5">
        <f>IF(A49="","",Destinasjoner!B45)</f>
        <v/>
      </c>
      <c r="D49" s="17">
        <f>IFERROR(SUMIFS(F49:BE49,$F$7:$BE$7,"x")/COUNTIFS($F$7:$BE$7,"x",F49:BE49,"&gt;0"),"")</f>
        <v/>
      </c>
      <c r="E49" s="18">
        <f>IF(D49="","",_xlfn.MINIFS(F49:BE49,$F$7:$BE$7,"x",F49:BE49,"&gt;0"))</f>
        <v/>
      </c>
      <c r="F49" s="19">
        <f>IF($A49="","",IF(COUNTIFS(Måned!$A$5:$A$2000,$A49,Måned!$C$5:$C$2000,MONTH(F$5+3))=0,"",MAX(1,MIN(5,SUMIFS(Måned!$H$5:$H$2000,Måned!$A$5:$A$2000,$A49,Måned!$C$5:$C$2000,MONTH(F$5+3))+SUMPRODUCT((Vinduer!$A$5:$A$300=$A49)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49" s="19">
        <f>IF($A49="","",IF(COUNTIFS(Måned!$A$5:$A$2000,$A49,Måned!$C$5:$C$2000,MONTH(G$5+3))=0,"",MAX(1,MIN(5,SUMIFS(Måned!$H$5:$H$2000,Måned!$A$5:$A$2000,$A49,Måned!$C$5:$C$2000,MONTH(G$5+3))+SUMPRODUCT((Vinduer!$A$5:$A$300=$A49)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49" s="19">
        <f>IF($A49="","",IF(COUNTIFS(Måned!$A$5:$A$2000,$A49,Måned!$C$5:$C$2000,MONTH(H$5+3))=0,"",MAX(1,MIN(5,SUMIFS(Måned!$H$5:$H$2000,Måned!$A$5:$A$2000,$A49,Måned!$C$5:$C$2000,MONTH(H$5+3))+SUMPRODUCT((Vinduer!$A$5:$A$300=$A49)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49" s="19">
        <f>IF($A49="","",IF(COUNTIFS(Måned!$A$5:$A$2000,$A49,Måned!$C$5:$C$2000,MONTH(I$5+3))=0,"",MAX(1,MIN(5,SUMIFS(Måned!$H$5:$H$2000,Måned!$A$5:$A$2000,$A49,Måned!$C$5:$C$2000,MONTH(I$5+3))+SUMPRODUCT((Vinduer!$A$5:$A$300=$A49)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49" s="19">
        <f>IF($A49="","",IF(COUNTIFS(Måned!$A$5:$A$2000,$A49,Måned!$C$5:$C$2000,MONTH(J$5+3))=0,"",MAX(1,MIN(5,SUMIFS(Måned!$H$5:$H$2000,Måned!$A$5:$A$2000,$A49,Måned!$C$5:$C$2000,MONTH(J$5+3))+SUMPRODUCT((Vinduer!$A$5:$A$300=$A49)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49" s="19">
        <f>IF($A49="","",IF(COUNTIFS(Måned!$A$5:$A$2000,$A49,Måned!$C$5:$C$2000,MONTH(K$5+3))=0,"",MAX(1,MIN(5,SUMIFS(Måned!$H$5:$H$2000,Måned!$A$5:$A$2000,$A49,Måned!$C$5:$C$2000,MONTH(K$5+3))+SUMPRODUCT((Vinduer!$A$5:$A$300=$A49)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49" s="19">
        <f>IF($A49="","",IF(COUNTIFS(Måned!$A$5:$A$2000,$A49,Måned!$C$5:$C$2000,MONTH(L$5+3))=0,"",MAX(1,MIN(5,SUMIFS(Måned!$H$5:$H$2000,Måned!$A$5:$A$2000,$A49,Måned!$C$5:$C$2000,MONTH(L$5+3))+SUMPRODUCT((Vinduer!$A$5:$A$300=$A49)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49" s="19">
        <f>IF($A49="","",IF(COUNTIFS(Måned!$A$5:$A$2000,$A49,Måned!$C$5:$C$2000,MONTH(M$5+3))=0,"",MAX(1,MIN(5,SUMIFS(Måned!$H$5:$H$2000,Måned!$A$5:$A$2000,$A49,Måned!$C$5:$C$2000,MONTH(M$5+3))+SUMPRODUCT((Vinduer!$A$5:$A$300=$A49)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49" s="19">
        <f>IF($A49="","",IF(COUNTIFS(Måned!$A$5:$A$2000,$A49,Måned!$C$5:$C$2000,MONTH(N$5+3))=0,"",MAX(1,MIN(5,SUMIFS(Måned!$H$5:$H$2000,Måned!$A$5:$A$2000,$A49,Måned!$C$5:$C$2000,MONTH(N$5+3))+SUMPRODUCT((Vinduer!$A$5:$A$300=$A49)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49" s="19">
        <f>IF($A49="","",IF(COUNTIFS(Måned!$A$5:$A$2000,$A49,Måned!$C$5:$C$2000,MONTH(O$5+3))=0,"",MAX(1,MIN(5,SUMIFS(Måned!$H$5:$H$2000,Måned!$A$5:$A$2000,$A49,Måned!$C$5:$C$2000,MONTH(O$5+3))+SUMPRODUCT((Vinduer!$A$5:$A$300=$A49)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49" s="19">
        <f>IF($A49="","",IF(COUNTIFS(Måned!$A$5:$A$2000,$A49,Måned!$C$5:$C$2000,MONTH(P$5+3))=0,"",MAX(1,MIN(5,SUMIFS(Måned!$H$5:$H$2000,Måned!$A$5:$A$2000,$A49,Måned!$C$5:$C$2000,MONTH(P$5+3))+SUMPRODUCT((Vinduer!$A$5:$A$300=$A49)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49" s="19">
        <f>IF($A49="","",IF(COUNTIFS(Måned!$A$5:$A$2000,$A49,Måned!$C$5:$C$2000,MONTH(Q$5+3))=0,"",MAX(1,MIN(5,SUMIFS(Måned!$H$5:$H$2000,Måned!$A$5:$A$2000,$A49,Måned!$C$5:$C$2000,MONTH(Q$5+3))+SUMPRODUCT((Vinduer!$A$5:$A$300=$A49)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49" s="19">
        <f>IF($A49="","",IF(COUNTIFS(Måned!$A$5:$A$2000,$A49,Måned!$C$5:$C$2000,MONTH(R$5+3))=0,"",MAX(1,MIN(5,SUMIFS(Måned!$H$5:$H$2000,Måned!$A$5:$A$2000,$A49,Måned!$C$5:$C$2000,MONTH(R$5+3))+SUMPRODUCT((Vinduer!$A$5:$A$300=$A49)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49" s="19">
        <f>IF($A49="","",IF(COUNTIFS(Måned!$A$5:$A$2000,$A49,Måned!$C$5:$C$2000,MONTH(S$5+3))=0,"",MAX(1,MIN(5,SUMIFS(Måned!$H$5:$H$2000,Måned!$A$5:$A$2000,$A49,Måned!$C$5:$C$2000,MONTH(S$5+3))+SUMPRODUCT((Vinduer!$A$5:$A$300=$A49)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49" s="19">
        <f>IF($A49="","",IF(COUNTIFS(Måned!$A$5:$A$2000,$A49,Måned!$C$5:$C$2000,MONTH(T$5+3))=0,"",MAX(1,MIN(5,SUMIFS(Måned!$H$5:$H$2000,Måned!$A$5:$A$2000,$A49,Måned!$C$5:$C$2000,MONTH(T$5+3))+SUMPRODUCT((Vinduer!$A$5:$A$300=$A49)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49" s="19">
        <f>IF($A49="","",IF(COUNTIFS(Måned!$A$5:$A$2000,$A49,Måned!$C$5:$C$2000,MONTH(U$5+3))=0,"",MAX(1,MIN(5,SUMIFS(Måned!$H$5:$H$2000,Måned!$A$5:$A$2000,$A49,Måned!$C$5:$C$2000,MONTH(U$5+3))+SUMPRODUCT((Vinduer!$A$5:$A$300=$A49)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49" s="19">
        <f>IF($A49="","",IF(COUNTIFS(Måned!$A$5:$A$2000,$A49,Måned!$C$5:$C$2000,MONTH(V$5+3))=0,"",MAX(1,MIN(5,SUMIFS(Måned!$H$5:$H$2000,Måned!$A$5:$A$2000,$A49,Måned!$C$5:$C$2000,MONTH(V$5+3))+SUMPRODUCT((Vinduer!$A$5:$A$300=$A49)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49" s="19">
        <f>IF($A49="","",IF(COUNTIFS(Måned!$A$5:$A$2000,$A49,Måned!$C$5:$C$2000,MONTH(W$5+3))=0,"",MAX(1,MIN(5,SUMIFS(Måned!$H$5:$H$2000,Måned!$A$5:$A$2000,$A49,Måned!$C$5:$C$2000,MONTH(W$5+3))+SUMPRODUCT((Vinduer!$A$5:$A$300=$A49)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49" s="19">
        <f>IF($A49="","",IF(COUNTIFS(Måned!$A$5:$A$2000,$A49,Måned!$C$5:$C$2000,MONTH(X$5+3))=0,"",MAX(1,MIN(5,SUMIFS(Måned!$H$5:$H$2000,Måned!$A$5:$A$2000,$A49,Måned!$C$5:$C$2000,MONTH(X$5+3))+SUMPRODUCT((Vinduer!$A$5:$A$300=$A49)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49" s="19">
        <f>IF($A49="","",IF(COUNTIFS(Måned!$A$5:$A$2000,$A49,Måned!$C$5:$C$2000,MONTH(Y$5+3))=0,"",MAX(1,MIN(5,SUMIFS(Måned!$H$5:$H$2000,Måned!$A$5:$A$2000,$A49,Måned!$C$5:$C$2000,MONTH(Y$5+3))+SUMPRODUCT((Vinduer!$A$5:$A$300=$A49)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49" s="19">
        <f>IF($A49="","",IF(COUNTIFS(Måned!$A$5:$A$2000,$A49,Måned!$C$5:$C$2000,MONTH(Z$5+3))=0,"",MAX(1,MIN(5,SUMIFS(Måned!$H$5:$H$2000,Måned!$A$5:$A$2000,$A49,Måned!$C$5:$C$2000,MONTH(Z$5+3))+SUMPRODUCT((Vinduer!$A$5:$A$300=$A49)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49" s="19">
        <f>IF($A49="","",IF(COUNTIFS(Måned!$A$5:$A$2000,$A49,Måned!$C$5:$C$2000,MONTH(AA$5+3))=0,"",MAX(1,MIN(5,SUMIFS(Måned!$H$5:$H$2000,Måned!$A$5:$A$2000,$A49,Måned!$C$5:$C$2000,MONTH(AA$5+3))+SUMPRODUCT((Vinduer!$A$5:$A$300=$A49)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49" s="19">
        <f>IF($A49="","",IF(COUNTIFS(Måned!$A$5:$A$2000,$A49,Måned!$C$5:$C$2000,MONTH(AB$5+3))=0,"",MAX(1,MIN(5,SUMIFS(Måned!$H$5:$H$2000,Måned!$A$5:$A$2000,$A49,Måned!$C$5:$C$2000,MONTH(AB$5+3))+SUMPRODUCT((Vinduer!$A$5:$A$300=$A49)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49" s="19">
        <f>IF($A49="","",IF(COUNTIFS(Måned!$A$5:$A$2000,$A49,Måned!$C$5:$C$2000,MONTH(AC$5+3))=0,"",MAX(1,MIN(5,SUMIFS(Måned!$H$5:$H$2000,Måned!$A$5:$A$2000,$A49,Måned!$C$5:$C$2000,MONTH(AC$5+3))+SUMPRODUCT((Vinduer!$A$5:$A$300=$A49)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49" s="19">
        <f>IF($A49="","",IF(COUNTIFS(Måned!$A$5:$A$2000,$A49,Måned!$C$5:$C$2000,MONTH(AD$5+3))=0,"",MAX(1,MIN(5,SUMIFS(Måned!$H$5:$H$2000,Måned!$A$5:$A$2000,$A49,Måned!$C$5:$C$2000,MONTH(AD$5+3))+SUMPRODUCT((Vinduer!$A$5:$A$300=$A49)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49" s="19">
        <f>IF($A49="","",IF(COUNTIFS(Måned!$A$5:$A$2000,$A49,Måned!$C$5:$C$2000,MONTH(AE$5+3))=0,"",MAX(1,MIN(5,SUMIFS(Måned!$H$5:$H$2000,Måned!$A$5:$A$2000,$A49,Måned!$C$5:$C$2000,MONTH(AE$5+3))+SUMPRODUCT((Vinduer!$A$5:$A$300=$A49)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49" s="19">
        <f>IF($A49="","",IF(COUNTIFS(Måned!$A$5:$A$2000,$A49,Måned!$C$5:$C$2000,MONTH(AF$5+3))=0,"",MAX(1,MIN(5,SUMIFS(Måned!$H$5:$H$2000,Måned!$A$5:$A$2000,$A49,Måned!$C$5:$C$2000,MONTH(AF$5+3))+SUMPRODUCT((Vinduer!$A$5:$A$300=$A49)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49" s="19">
        <f>IF($A49="","",IF(COUNTIFS(Måned!$A$5:$A$2000,$A49,Måned!$C$5:$C$2000,MONTH(AG$5+3))=0,"",MAX(1,MIN(5,SUMIFS(Måned!$H$5:$H$2000,Måned!$A$5:$A$2000,$A49,Måned!$C$5:$C$2000,MONTH(AG$5+3))+SUMPRODUCT((Vinduer!$A$5:$A$300=$A49)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49" s="19">
        <f>IF($A49="","",IF(COUNTIFS(Måned!$A$5:$A$2000,$A49,Måned!$C$5:$C$2000,MONTH(AH$5+3))=0,"",MAX(1,MIN(5,SUMIFS(Måned!$H$5:$H$2000,Måned!$A$5:$A$2000,$A49,Måned!$C$5:$C$2000,MONTH(AH$5+3))+SUMPRODUCT((Vinduer!$A$5:$A$300=$A49)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49" s="19">
        <f>IF($A49="","",IF(COUNTIFS(Måned!$A$5:$A$2000,$A49,Måned!$C$5:$C$2000,MONTH(AI$5+3))=0,"",MAX(1,MIN(5,SUMIFS(Måned!$H$5:$H$2000,Måned!$A$5:$A$2000,$A49,Måned!$C$5:$C$2000,MONTH(AI$5+3))+SUMPRODUCT((Vinduer!$A$5:$A$300=$A49)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49" s="19">
        <f>IF($A49="","",IF(COUNTIFS(Måned!$A$5:$A$2000,$A49,Måned!$C$5:$C$2000,MONTH(AJ$5+3))=0,"",MAX(1,MIN(5,SUMIFS(Måned!$H$5:$H$2000,Måned!$A$5:$A$2000,$A49,Måned!$C$5:$C$2000,MONTH(AJ$5+3))+SUMPRODUCT((Vinduer!$A$5:$A$300=$A49)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49" s="19">
        <f>IF($A49="","",IF(COUNTIFS(Måned!$A$5:$A$2000,$A49,Måned!$C$5:$C$2000,MONTH(AK$5+3))=0,"",MAX(1,MIN(5,SUMIFS(Måned!$H$5:$H$2000,Måned!$A$5:$A$2000,$A49,Måned!$C$5:$C$2000,MONTH(AK$5+3))+SUMPRODUCT((Vinduer!$A$5:$A$300=$A49)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49" s="19">
        <f>IF($A49="","",IF(COUNTIFS(Måned!$A$5:$A$2000,$A49,Måned!$C$5:$C$2000,MONTH(AL$5+3))=0,"",MAX(1,MIN(5,SUMIFS(Måned!$H$5:$H$2000,Måned!$A$5:$A$2000,$A49,Måned!$C$5:$C$2000,MONTH(AL$5+3))+SUMPRODUCT((Vinduer!$A$5:$A$300=$A49)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49" s="19">
        <f>IF($A49="","",IF(COUNTIFS(Måned!$A$5:$A$2000,$A49,Måned!$C$5:$C$2000,MONTH(AM$5+3))=0,"",MAX(1,MIN(5,SUMIFS(Måned!$H$5:$H$2000,Måned!$A$5:$A$2000,$A49,Måned!$C$5:$C$2000,MONTH(AM$5+3))+SUMPRODUCT((Vinduer!$A$5:$A$300=$A49)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49" s="19">
        <f>IF($A49="","",IF(COUNTIFS(Måned!$A$5:$A$2000,$A49,Måned!$C$5:$C$2000,MONTH(AN$5+3))=0,"",MAX(1,MIN(5,SUMIFS(Måned!$H$5:$H$2000,Måned!$A$5:$A$2000,$A49,Måned!$C$5:$C$2000,MONTH(AN$5+3))+SUMPRODUCT((Vinduer!$A$5:$A$300=$A49)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49" s="19">
        <f>IF($A49="","",IF(COUNTIFS(Måned!$A$5:$A$2000,$A49,Måned!$C$5:$C$2000,MONTH(AO$5+3))=0,"",MAX(1,MIN(5,SUMIFS(Måned!$H$5:$H$2000,Måned!$A$5:$A$2000,$A49,Måned!$C$5:$C$2000,MONTH(AO$5+3))+SUMPRODUCT((Vinduer!$A$5:$A$300=$A49)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49" s="19">
        <f>IF($A49="","",IF(COUNTIFS(Måned!$A$5:$A$2000,$A49,Måned!$C$5:$C$2000,MONTH(AP$5+3))=0,"",MAX(1,MIN(5,SUMIFS(Måned!$H$5:$H$2000,Måned!$A$5:$A$2000,$A49,Måned!$C$5:$C$2000,MONTH(AP$5+3))+SUMPRODUCT((Vinduer!$A$5:$A$300=$A49)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49" s="19">
        <f>IF($A49="","",IF(COUNTIFS(Måned!$A$5:$A$2000,$A49,Måned!$C$5:$C$2000,MONTH(AQ$5+3))=0,"",MAX(1,MIN(5,SUMIFS(Måned!$H$5:$H$2000,Måned!$A$5:$A$2000,$A49,Måned!$C$5:$C$2000,MONTH(AQ$5+3))+SUMPRODUCT((Vinduer!$A$5:$A$300=$A49)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49" s="19">
        <f>IF($A49="","",IF(COUNTIFS(Måned!$A$5:$A$2000,$A49,Måned!$C$5:$C$2000,MONTH(AR$5+3))=0,"",MAX(1,MIN(5,SUMIFS(Måned!$H$5:$H$2000,Måned!$A$5:$A$2000,$A49,Måned!$C$5:$C$2000,MONTH(AR$5+3))+SUMPRODUCT((Vinduer!$A$5:$A$300=$A49)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49" s="19">
        <f>IF($A49="","",IF(COUNTIFS(Måned!$A$5:$A$2000,$A49,Måned!$C$5:$C$2000,MONTH(AS$5+3))=0,"",MAX(1,MIN(5,SUMIFS(Måned!$H$5:$H$2000,Måned!$A$5:$A$2000,$A49,Måned!$C$5:$C$2000,MONTH(AS$5+3))+SUMPRODUCT((Vinduer!$A$5:$A$300=$A49)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49" s="19">
        <f>IF($A49="","",IF(COUNTIFS(Måned!$A$5:$A$2000,$A49,Måned!$C$5:$C$2000,MONTH(AT$5+3))=0,"",MAX(1,MIN(5,SUMIFS(Måned!$H$5:$H$2000,Måned!$A$5:$A$2000,$A49,Måned!$C$5:$C$2000,MONTH(AT$5+3))+SUMPRODUCT((Vinduer!$A$5:$A$300=$A49)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49" s="19">
        <f>IF($A49="","",IF(COUNTIFS(Måned!$A$5:$A$2000,$A49,Måned!$C$5:$C$2000,MONTH(AU$5+3))=0,"",MAX(1,MIN(5,SUMIFS(Måned!$H$5:$H$2000,Måned!$A$5:$A$2000,$A49,Måned!$C$5:$C$2000,MONTH(AU$5+3))+SUMPRODUCT((Vinduer!$A$5:$A$300=$A49)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49" s="19">
        <f>IF($A49="","",IF(COUNTIFS(Måned!$A$5:$A$2000,$A49,Måned!$C$5:$C$2000,MONTH(AV$5+3))=0,"",MAX(1,MIN(5,SUMIFS(Måned!$H$5:$H$2000,Måned!$A$5:$A$2000,$A49,Måned!$C$5:$C$2000,MONTH(AV$5+3))+SUMPRODUCT((Vinduer!$A$5:$A$300=$A49)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49" s="19">
        <f>IF($A49="","",IF(COUNTIFS(Måned!$A$5:$A$2000,$A49,Måned!$C$5:$C$2000,MONTH(AW$5+3))=0,"",MAX(1,MIN(5,SUMIFS(Måned!$H$5:$H$2000,Måned!$A$5:$A$2000,$A49,Måned!$C$5:$C$2000,MONTH(AW$5+3))+SUMPRODUCT((Vinduer!$A$5:$A$300=$A49)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49" s="19">
        <f>IF($A49="","",IF(COUNTIFS(Måned!$A$5:$A$2000,$A49,Måned!$C$5:$C$2000,MONTH(AX$5+3))=0,"",MAX(1,MIN(5,SUMIFS(Måned!$H$5:$H$2000,Måned!$A$5:$A$2000,$A49,Måned!$C$5:$C$2000,MONTH(AX$5+3))+SUMPRODUCT((Vinduer!$A$5:$A$300=$A49)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49" s="19">
        <f>IF($A49="","",IF(COUNTIFS(Måned!$A$5:$A$2000,$A49,Måned!$C$5:$C$2000,MONTH(AY$5+3))=0,"",MAX(1,MIN(5,SUMIFS(Måned!$H$5:$H$2000,Måned!$A$5:$A$2000,$A49,Måned!$C$5:$C$2000,MONTH(AY$5+3))+SUMPRODUCT((Vinduer!$A$5:$A$300=$A49)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49" s="19">
        <f>IF($A49="","",IF(COUNTIFS(Måned!$A$5:$A$2000,$A49,Måned!$C$5:$C$2000,MONTH(AZ$5+3))=0,"",MAX(1,MIN(5,SUMIFS(Måned!$H$5:$H$2000,Måned!$A$5:$A$2000,$A49,Måned!$C$5:$C$2000,MONTH(AZ$5+3))+SUMPRODUCT((Vinduer!$A$5:$A$300=$A49)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49" s="19">
        <f>IF($A49="","",IF(COUNTIFS(Måned!$A$5:$A$2000,$A49,Måned!$C$5:$C$2000,MONTH(BA$5+3))=0,"",MAX(1,MIN(5,SUMIFS(Måned!$H$5:$H$2000,Måned!$A$5:$A$2000,$A49,Måned!$C$5:$C$2000,MONTH(BA$5+3))+SUMPRODUCT((Vinduer!$A$5:$A$300=$A49)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49" s="19">
        <f>IF($A49="","",IF(COUNTIFS(Måned!$A$5:$A$2000,$A49,Måned!$C$5:$C$2000,MONTH(BB$5+3))=0,"",MAX(1,MIN(5,SUMIFS(Måned!$H$5:$H$2000,Måned!$A$5:$A$2000,$A49,Måned!$C$5:$C$2000,MONTH(BB$5+3))+SUMPRODUCT((Vinduer!$A$5:$A$300=$A49)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49" s="19">
        <f>IF($A49="","",IF(COUNTIFS(Måned!$A$5:$A$2000,$A49,Måned!$C$5:$C$2000,MONTH(BC$5+3))=0,"",MAX(1,MIN(5,SUMIFS(Måned!$H$5:$H$2000,Måned!$A$5:$A$2000,$A49,Måned!$C$5:$C$2000,MONTH(BC$5+3))+SUMPRODUCT((Vinduer!$A$5:$A$300=$A49)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49" s="19">
        <f>IF($A49="","",IF(COUNTIFS(Måned!$A$5:$A$2000,$A49,Måned!$C$5:$C$2000,MONTH(BD$5+3))=0,"",MAX(1,MIN(5,SUMIFS(Måned!$H$5:$H$2000,Måned!$A$5:$A$2000,$A49,Måned!$C$5:$C$2000,MONTH(BD$5+3))+SUMPRODUCT((Vinduer!$A$5:$A$300=$A49)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49" s="19">
        <f>IF($A49="","",IF(COUNTIFS(Måned!$A$5:$A$2000,$A49,Måned!$C$5:$C$2000,MONTH(BE$5+3))=0,"",MAX(1,MIN(5,SUMIFS(Måned!$H$5:$H$2000,Måned!$A$5:$A$2000,$A49,Måned!$C$5:$C$2000,MONTH(BE$5+3))+SUMPRODUCT((Vinduer!$A$5:$A$300=$A49)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0">
      <c r="A50" s="5">
        <f>IF(Destinasjoner!A46="","",Destinasjoner!A46)</f>
        <v/>
      </c>
      <c r="B50" s="5">
        <f>IF(A50="","",Destinasjoner!E46)</f>
        <v/>
      </c>
      <c r="C50" s="5">
        <f>IF(A50="","",Destinasjoner!B46)</f>
        <v/>
      </c>
      <c r="D50" s="17">
        <f>IFERROR(SUMIFS(F50:BE50,$F$7:$BE$7,"x")/COUNTIFS($F$7:$BE$7,"x",F50:BE50,"&gt;0"),"")</f>
        <v/>
      </c>
      <c r="E50" s="18">
        <f>IF(D50="","",_xlfn.MINIFS(F50:BE50,$F$7:$BE$7,"x",F50:BE50,"&gt;0"))</f>
        <v/>
      </c>
      <c r="F50" s="19">
        <f>IF($A50="","",IF(COUNTIFS(Måned!$A$5:$A$2000,$A50,Måned!$C$5:$C$2000,MONTH(F$5+3))=0,"",MAX(1,MIN(5,SUMIFS(Måned!$H$5:$H$2000,Måned!$A$5:$A$2000,$A50,Måned!$C$5:$C$2000,MONTH(F$5+3))+SUMPRODUCT((Vinduer!$A$5:$A$300=$A50)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0" s="19">
        <f>IF($A50="","",IF(COUNTIFS(Måned!$A$5:$A$2000,$A50,Måned!$C$5:$C$2000,MONTH(G$5+3))=0,"",MAX(1,MIN(5,SUMIFS(Måned!$H$5:$H$2000,Måned!$A$5:$A$2000,$A50,Måned!$C$5:$C$2000,MONTH(G$5+3))+SUMPRODUCT((Vinduer!$A$5:$A$300=$A50)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0" s="19">
        <f>IF($A50="","",IF(COUNTIFS(Måned!$A$5:$A$2000,$A50,Måned!$C$5:$C$2000,MONTH(H$5+3))=0,"",MAX(1,MIN(5,SUMIFS(Måned!$H$5:$H$2000,Måned!$A$5:$A$2000,$A50,Måned!$C$5:$C$2000,MONTH(H$5+3))+SUMPRODUCT((Vinduer!$A$5:$A$300=$A50)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0" s="19">
        <f>IF($A50="","",IF(COUNTIFS(Måned!$A$5:$A$2000,$A50,Måned!$C$5:$C$2000,MONTH(I$5+3))=0,"",MAX(1,MIN(5,SUMIFS(Måned!$H$5:$H$2000,Måned!$A$5:$A$2000,$A50,Måned!$C$5:$C$2000,MONTH(I$5+3))+SUMPRODUCT((Vinduer!$A$5:$A$300=$A50)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0" s="19">
        <f>IF($A50="","",IF(COUNTIFS(Måned!$A$5:$A$2000,$A50,Måned!$C$5:$C$2000,MONTH(J$5+3))=0,"",MAX(1,MIN(5,SUMIFS(Måned!$H$5:$H$2000,Måned!$A$5:$A$2000,$A50,Måned!$C$5:$C$2000,MONTH(J$5+3))+SUMPRODUCT((Vinduer!$A$5:$A$300=$A50)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0" s="19">
        <f>IF($A50="","",IF(COUNTIFS(Måned!$A$5:$A$2000,$A50,Måned!$C$5:$C$2000,MONTH(K$5+3))=0,"",MAX(1,MIN(5,SUMIFS(Måned!$H$5:$H$2000,Måned!$A$5:$A$2000,$A50,Måned!$C$5:$C$2000,MONTH(K$5+3))+SUMPRODUCT((Vinduer!$A$5:$A$300=$A50)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0" s="19">
        <f>IF($A50="","",IF(COUNTIFS(Måned!$A$5:$A$2000,$A50,Måned!$C$5:$C$2000,MONTH(L$5+3))=0,"",MAX(1,MIN(5,SUMIFS(Måned!$H$5:$H$2000,Måned!$A$5:$A$2000,$A50,Måned!$C$5:$C$2000,MONTH(L$5+3))+SUMPRODUCT((Vinduer!$A$5:$A$300=$A50)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0" s="19">
        <f>IF($A50="","",IF(COUNTIFS(Måned!$A$5:$A$2000,$A50,Måned!$C$5:$C$2000,MONTH(M$5+3))=0,"",MAX(1,MIN(5,SUMIFS(Måned!$H$5:$H$2000,Måned!$A$5:$A$2000,$A50,Måned!$C$5:$C$2000,MONTH(M$5+3))+SUMPRODUCT((Vinduer!$A$5:$A$300=$A50)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0" s="19">
        <f>IF($A50="","",IF(COUNTIFS(Måned!$A$5:$A$2000,$A50,Måned!$C$5:$C$2000,MONTH(N$5+3))=0,"",MAX(1,MIN(5,SUMIFS(Måned!$H$5:$H$2000,Måned!$A$5:$A$2000,$A50,Måned!$C$5:$C$2000,MONTH(N$5+3))+SUMPRODUCT((Vinduer!$A$5:$A$300=$A50)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0" s="19">
        <f>IF($A50="","",IF(COUNTIFS(Måned!$A$5:$A$2000,$A50,Måned!$C$5:$C$2000,MONTH(O$5+3))=0,"",MAX(1,MIN(5,SUMIFS(Måned!$H$5:$H$2000,Måned!$A$5:$A$2000,$A50,Måned!$C$5:$C$2000,MONTH(O$5+3))+SUMPRODUCT((Vinduer!$A$5:$A$300=$A50)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0" s="19">
        <f>IF($A50="","",IF(COUNTIFS(Måned!$A$5:$A$2000,$A50,Måned!$C$5:$C$2000,MONTH(P$5+3))=0,"",MAX(1,MIN(5,SUMIFS(Måned!$H$5:$H$2000,Måned!$A$5:$A$2000,$A50,Måned!$C$5:$C$2000,MONTH(P$5+3))+SUMPRODUCT((Vinduer!$A$5:$A$300=$A50)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0" s="19">
        <f>IF($A50="","",IF(COUNTIFS(Måned!$A$5:$A$2000,$A50,Måned!$C$5:$C$2000,MONTH(Q$5+3))=0,"",MAX(1,MIN(5,SUMIFS(Måned!$H$5:$H$2000,Måned!$A$5:$A$2000,$A50,Måned!$C$5:$C$2000,MONTH(Q$5+3))+SUMPRODUCT((Vinduer!$A$5:$A$300=$A50)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0" s="19">
        <f>IF($A50="","",IF(COUNTIFS(Måned!$A$5:$A$2000,$A50,Måned!$C$5:$C$2000,MONTH(R$5+3))=0,"",MAX(1,MIN(5,SUMIFS(Måned!$H$5:$H$2000,Måned!$A$5:$A$2000,$A50,Måned!$C$5:$C$2000,MONTH(R$5+3))+SUMPRODUCT((Vinduer!$A$5:$A$300=$A50)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0" s="19">
        <f>IF($A50="","",IF(COUNTIFS(Måned!$A$5:$A$2000,$A50,Måned!$C$5:$C$2000,MONTH(S$5+3))=0,"",MAX(1,MIN(5,SUMIFS(Måned!$H$5:$H$2000,Måned!$A$5:$A$2000,$A50,Måned!$C$5:$C$2000,MONTH(S$5+3))+SUMPRODUCT((Vinduer!$A$5:$A$300=$A50)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0" s="19">
        <f>IF($A50="","",IF(COUNTIFS(Måned!$A$5:$A$2000,$A50,Måned!$C$5:$C$2000,MONTH(T$5+3))=0,"",MAX(1,MIN(5,SUMIFS(Måned!$H$5:$H$2000,Måned!$A$5:$A$2000,$A50,Måned!$C$5:$C$2000,MONTH(T$5+3))+SUMPRODUCT((Vinduer!$A$5:$A$300=$A50)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0" s="19">
        <f>IF($A50="","",IF(COUNTIFS(Måned!$A$5:$A$2000,$A50,Måned!$C$5:$C$2000,MONTH(U$5+3))=0,"",MAX(1,MIN(5,SUMIFS(Måned!$H$5:$H$2000,Måned!$A$5:$A$2000,$A50,Måned!$C$5:$C$2000,MONTH(U$5+3))+SUMPRODUCT((Vinduer!$A$5:$A$300=$A50)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0" s="19">
        <f>IF($A50="","",IF(COUNTIFS(Måned!$A$5:$A$2000,$A50,Måned!$C$5:$C$2000,MONTH(V$5+3))=0,"",MAX(1,MIN(5,SUMIFS(Måned!$H$5:$H$2000,Måned!$A$5:$A$2000,$A50,Måned!$C$5:$C$2000,MONTH(V$5+3))+SUMPRODUCT((Vinduer!$A$5:$A$300=$A50)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0" s="19">
        <f>IF($A50="","",IF(COUNTIFS(Måned!$A$5:$A$2000,$A50,Måned!$C$5:$C$2000,MONTH(W$5+3))=0,"",MAX(1,MIN(5,SUMIFS(Måned!$H$5:$H$2000,Måned!$A$5:$A$2000,$A50,Måned!$C$5:$C$2000,MONTH(W$5+3))+SUMPRODUCT((Vinduer!$A$5:$A$300=$A50)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0" s="19">
        <f>IF($A50="","",IF(COUNTIFS(Måned!$A$5:$A$2000,$A50,Måned!$C$5:$C$2000,MONTH(X$5+3))=0,"",MAX(1,MIN(5,SUMIFS(Måned!$H$5:$H$2000,Måned!$A$5:$A$2000,$A50,Måned!$C$5:$C$2000,MONTH(X$5+3))+SUMPRODUCT((Vinduer!$A$5:$A$300=$A50)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0" s="19">
        <f>IF($A50="","",IF(COUNTIFS(Måned!$A$5:$A$2000,$A50,Måned!$C$5:$C$2000,MONTH(Y$5+3))=0,"",MAX(1,MIN(5,SUMIFS(Måned!$H$5:$H$2000,Måned!$A$5:$A$2000,$A50,Måned!$C$5:$C$2000,MONTH(Y$5+3))+SUMPRODUCT((Vinduer!$A$5:$A$300=$A50)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0" s="19">
        <f>IF($A50="","",IF(COUNTIFS(Måned!$A$5:$A$2000,$A50,Måned!$C$5:$C$2000,MONTH(Z$5+3))=0,"",MAX(1,MIN(5,SUMIFS(Måned!$H$5:$H$2000,Måned!$A$5:$A$2000,$A50,Måned!$C$5:$C$2000,MONTH(Z$5+3))+SUMPRODUCT((Vinduer!$A$5:$A$300=$A50)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0" s="19">
        <f>IF($A50="","",IF(COUNTIFS(Måned!$A$5:$A$2000,$A50,Måned!$C$5:$C$2000,MONTH(AA$5+3))=0,"",MAX(1,MIN(5,SUMIFS(Måned!$H$5:$H$2000,Måned!$A$5:$A$2000,$A50,Måned!$C$5:$C$2000,MONTH(AA$5+3))+SUMPRODUCT((Vinduer!$A$5:$A$300=$A50)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0" s="19">
        <f>IF($A50="","",IF(COUNTIFS(Måned!$A$5:$A$2000,$A50,Måned!$C$5:$C$2000,MONTH(AB$5+3))=0,"",MAX(1,MIN(5,SUMIFS(Måned!$H$5:$H$2000,Måned!$A$5:$A$2000,$A50,Måned!$C$5:$C$2000,MONTH(AB$5+3))+SUMPRODUCT((Vinduer!$A$5:$A$300=$A50)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0" s="19">
        <f>IF($A50="","",IF(COUNTIFS(Måned!$A$5:$A$2000,$A50,Måned!$C$5:$C$2000,MONTH(AC$5+3))=0,"",MAX(1,MIN(5,SUMIFS(Måned!$H$5:$H$2000,Måned!$A$5:$A$2000,$A50,Måned!$C$5:$C$2000,MONTH(AC$5+3))+SUMPRODUCT((Vinduer!$A$5:$A$300=$A50)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0" s="19">
        <f>IF($A50="","",IF(COUNTIFS(Måned!$A$5:$A$2000,$A50,Måned!$C$5:$C$2000,MONTH(AD$5+3))=0,"",MAX(1,MIN(5,SUMIFS(Måned!$H$5:$H$2000,Måned!$A$5:$A$2000,$A50,Måned!$C$5:$C$2000,MONTH(AD$5+3))+SUMPRODUCT((Vinduer!$A$5:$A$300=$A50)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0" s="19">
        <f>IF($A50="","",IF(COUNTIFS(Måned!$A$5:$A$2000,$A50,Måned!$C$5:$C$2000,MONTH(AE$5+3))=0,"",MAX(1,MIN(5,SUMIFS(Måned!$H$5:$H$2000,Måned!$A$5:$A$2000,$A50,Måned!$C$5:$C$2000,MONTH(AE$5+3))+SUMPRODUCT((Vinduer!$A$5:$A$300=$A50)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0" s="19">
        <f>IF($A50="","",IF(COUNTIFS(Måned!$A$5:$A$2000,$A50,Måned!$C$5:$C$2000,MONTH(AF$5+3))=0,"",MAX(1,MIN(5,SUMIFS(Måned!$H$5:$H$2000,Måned!$A$5:$A$2000,$A50,Måned!$C$5:$C$2000,MONTH(AF$5+3))+SUMPRODUCT((Vinduer!$A$5:$A$300=$A50)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0" s="19">
        <f>IF($A50="","",IF(COUNTIFS(Måned!$A$5:$A$2000,$A50,Måned!$C$5:$C$2000,MONTH(AG$5+3))=0,"",MAX(1,MIN(5,SUMIFS(Måned!$H$5:$H$2000,Måned!$A$5:$A$2000,$A50,Måned!$C$5:$C$2000,MONTH(AG$5+3))+SUMPRODUCT((Vinduer!$A$5:$A$300=$A50)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0" s="19">
        <f>IF($A50="","",IF(COUNTIFS(Måned!$A$5:$A$2000,$A50,Måned!$C$5:$C$2000,MONTH(AH$5+3))=0,"",MAX(1,MIN(5,SUMIFS(Måned!$H$5:$H$2000,Måned!$A$5:$A$2000,$A50,Måned!$C$5:$C$2000,MONTH(AH$5+3))+SUMPRODUCT((Vinduer!$A$5:$A$300=$A50)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0" s="19">
        <f>IF($A50="","",IF(COUNTIFS(Måned!$A$5:$A$2000,$A50,Måned!$C$5:$C$2000,MONTH(AI$5+3))=0,"",MAX(1,MIN(5,SUMIFS(Måned!$H$5:$H$2000,Måned!$A$5:$A$2000,$A50,Måned!$C$5:$C$2000,MONTH(AI$5+3))+SUMPRODUCT((Vinduer!$A$5:$A$300=$A50)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0" s="19">
        <f>IF($A50="","",IF(COUNTIFS(Måned!$A$5:$A$2000,$A50,Måned!$C$5:$C$2000,MONTH(AJ$5+3))=0,"",MAX(1,MIN(5,SUMIFS(Måned!$H$5:$H$2000,Måned!$A$5:$A$2000,$A50,Måned!$C$5:$C$2000,MONTH(AJ$5+3))+SUMPRODUCT((Vinduer!$A$5:$A$300=$A50)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0" s="19">
        <f>IF($A50="","",IF(COUNTIFS(Måned!$A$5:$A$2000,$A50,Måned!$C$5:$C$2000,MONTH(AK$5+3))=0,"",MAX(1,MIN(5,SUMIFS(Måned!$H$5:$H$2000,Måned!$A$5:$A$2000,$A50,Måned!$C$5:$C$2000,MONTH(AK$5+3))+SUMPRODUCT((Vinduer!$A$5:$A$300=$A50)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0" s="19">
        <f>IF($A50="","",IF(COUNTIFS(Måned!$A$5:$A$2000,$A50,Måned!$C$5:$C$2000,MONTH(AL$5+3))=0,"",MAX(1,MIN(5,SUMIFS(Måned!$H$5:$H$2000,Måned!$A$5:$A$2000,$A50,Måned!$C$5:$C$2000,MONTH(AL$5+3))+SUMPRODUCT((Vinduer!$A$5:$A$300=$A50)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0" s="19">
        <f>IF($A50="","",IF(COUNTIFS(Måned!$A$5:$A$2000,$A50,Måned!$C$5:$C$2000,MONTH(AM$5+3))=0,"",MAX(1,MIN(5,SUMIFS(Måned!$H$5:$H$2000,Måned!$A$5:$A$2000,$A50,Måned!$C$5:$C$2000,MONTH(AM$5+3))+SUMPRODUCT((Vinduer!$A$5:$A$300=$A50)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0" s="19">
        <f>IF($A50="","",IF(COUNTIFS(Måned!$A$5:$A$2000,$A50,Måned!$C$5:$C$2000,MONTH(AN$5+3))=0,"",MAX(1,MIN(5,SUMIFS(Måned!$H$5:$H$2000,Måned!$A$5:$A$2000,$A50,Måned!$C$5:$C$2000,MONTH(AN$5+3))+SUMPRODUCT((Vinduer!$A$5:$A$300=$A50)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0" s="19">
        <f>IF($A50="","",IF(COUNTIFS(Måned!$A$5:$A$2000,$A50,Måned!$C$5:$C$2000,MONTH(AO$5+3))=0,"",MAX(1,MIN(5,SUMIFS(Måned!$H$5:$H$2000,Måned!$A$5:$A$2000,$A50,Måned!$C$5:$C$2000,MONTH(AO$5+3))+SUMPRODUCT((Vinduer!$A$5:$A$300=$A50)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0" s="19">
        <f>IF($A50="","",IF(COUNTIFS(Måned!$A$5:$A$2000,$A50,Måned!$C$5:$C$2000,MONTH(AP$5+3))=0,"",MAX(1,MIN(5,SUMIFS(Måned!$H$5:$H$2000,Måned!$A$5:$A$2000,$A50,Måned!$C$5:$C$2000,MONTH(AP$5+3))+SUMPRODUCT((Vinduer!$A$5:$A$300=$A50)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0" s="19">
        <f>IF($A50="","",IF(COUNTIFS(Måned!$A$5:$A$2000,$A50,Måned!$C$5:$C$2000,MONTH(AQ$5+3))=0,"",MAX(1,MIN(5,SUMIFS(Måned!$H$5:$H$2000,Måned!$A$5:$A$2000,$A50,Måned!$C$5:$C$2000,MONTH(AQ$5+3))+SUMPRODUCT((Vinduer!$A$5:$A$300=$A50)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0" s="19">
        <f>IF($A50="","",IF(COUNTIFS(Måned!$A$5:$A$2000,$A50,Måned!$C$5:$C$2000,MONTH(AR$5+3))=0,"",MAX(1,MIN(5,SUMIFS(Måned!$H$5:$H$2000,Måned!$A$5:$A$2000,$A50,Måned!$C$5:$C$2000,MONTH(AR$5+3))+SUMPRODUCT((Vinduer!$A$5:$A$300=$A50)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0" s="19">
        <f>IF($A50="","",IF(COUNTIFS(Måned!$A$5:$A$2000,$A50,Måned!$C$5:$C$2000,MONTH(AS$5+3))=0,"",MAX(1,MIN(5,SUMIFS(Måned!$H$5:$H$2000,Måned!$A$5:$A$2000,$A50,Måned!$C$5:$C$2000,MONTH(AS$5+3))+SUMPRODUCT((Vinduer!$A$5:$A$300=$A50)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0" s="19">
        <f>IF($A50="","",IF(COUNTIFS(Måned!$A$5:$A$2000,$A50,Måned!$C$5:$C$2000,MONTH(AT$5+3))=0,"",MAX(1,MIN(5,SUMIFS(Måned!$H$5:$H$2000,Måned!$A$5:$A$2000,$A50,Måned!$C$5:$C$2000,MONTH(AT$5+3))+SUMPRODUCT((Vinduer!$A$5:$A$300=$A50)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0" s="19">
        <f>IF($A50="","",IF(COUNTIFS(Måned!$A$5:$A$2000,$A50,Måned!$C$5:$C$2000,MONTH(AU$5+3))=0,"",MAX(1,MIN(5,SUMIFS(Måned!$H$5:$H$2000,Måned!$A$5:$A$2000,$A50,Måned!$C$5:$C$2000,MONTH(AU$5+3))+SUMPRODUCT((Vinduer!$A$5:$A$300=$A50)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0" s="19">
        <f>IF($A50="","",IF(COUNTIFS(Måned!$A$5:$A$2000,$A50,Måned!$C$5:$C$2000,MONTH(AV$5+3))=0,"",MAX(1,MIN(5,SUMIFS(Måned!$H$5:$H$2000,Måned!$A$5:$A$2000,$A50,Måned!$C$5:$C$2000,MONTH(AV$5+3))+SUMPRODUCT((Vinduer!$A$5:$A$300=$A50)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0" s="19">
        <f>IF($A50="","",IF(COUNTIFS(Måned!$A$5:$A$2000,$A50,Måned!$C$5:$C$2000,MONTH(AW$5+3))=0,"",MAX(1,MIN(5,SUMIFS(Måned!$H$5:$H$2000,Måned!$A$5:$A$2000,$A50,Måned!$C$5:$C$2000,MONTH(AW$5+3))+SUMPRODUCT((Vinduer!$A$5:$A$300=$A50)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0" s="19">
        <f>IF($A50="","",IF(COUNTIFS(Måned!$A$5:$A$2000,$A50,Måned!$C$5:$C$2000,MONTH(AX$5+3))=0,"",MAX(1,MIN(5,SUMIFS(Måned!$H$5:$H$2000,Måned!$A$5:$A$2000,$A50,Måned!$C$5:$C$2000,MONTH(AX$5+3))+SUMPRODUCT((Vinduer!$A$5:$A$300=$A50)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0" s="19">
        <f>IF($A50="","",IF(COUNTIFS(Måned!$A$5:$A$2000,$A50,Måned!$C$5:$C$2000,MONTH(AY$5+3))=0,"",MAX(1,MIN(5,SUMIFS(Måned!$H$5:$H$2000,Måned!$A$5:$A$2000,$A50,Måned!$C$5:$C$2000,MONTH(AY$5+3))+SUMPRODUCT((Vinduer!$A$5:$A$300=$A50)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0" s="19">
        <f>IF($A50="","",IF(COUNTIFS(Måned!$A$5:$A$2000,$A50,Måned!$C$5:$C$2000,MONTH(AZ$5+3))=0,"",MAX(1,MIN(5,SUMIFS(Måned!$H$5:$H$2000,Måned!$A$5:$A$2000,$A50,Måned!$C$5:$C$2000,MONTH(AZ$5+3))+SUMPRODUCT((Vinduer!$A$5:$A$300=$A50)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0" s="19">
        <f>IF($A50="","",IF(COUNTIFS(Måned!$A$5:$A$2000,$A50,Måned!$C$5:$C$2000,MONTH(BA$5+3))=0,"",MAX(1,MIN(5,SUMIFS(Måned!$H$5:$H$2000,Måned!$A$5:$A$2000,$A50,Måned!$C$5:$C$2000,MONTH(BA$5+3))+SUMPRODUCT((Vinduer!$A$5:$A$300=$A50)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0" s="19">
        <f>IF($A50="","",IF(COUNTIFS(Måned!$A$5:$A$2000,$A50,Måned!$C$5:$C$2000,MONTH(BB$5+3))=0,"",MAX(1,MIN(5,SUMIFS(Måned!$H$5:$H$2000,Måned!$A$5:$A$2000,$A50,Måned!$C$5:$C$2000,MONTH(BB$5+3))+SUMPRODUCT((Vinduer!$A$5:$A$300=$A50)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0" s="19">
        <f>IF($A50="","",IF(COUNTIFS(Måned!$A$5:$A$2000,$A50,Måned!$C$5:$C$2000,MONTH(BC$5+3))=0,"",MAX(1,MIN(5,SUMIFS(Måned!$H$5:$H$2000,Måned!$A$5:$A$2000,$A50,Måned!$C$5:$C$2000,MONTH(BC$5+3))+SUMPRODUCT((Vinduer!$A$5:$A$300=$A50)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0" s="19">
        <f>IF($A50="","",IF(COUNTIFS(Måned!$A$5:$A$2000,$A50,Måned!$C$5:$C$2000,MONTH(BD$5+3))=0,"",MAX(1,MIN(5,SUMIFS(Måned!$H$5:$H$2000,Måned!$A$5:$A$2000,$A50,Måned!$C$5:$C$2000,MONTH(BD$5+3))+SUMPRODUCT((Vinduer!$A$5:$A$300=$A50)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0" s="19">
        <f>IF($A50="","",IF(COUNTIFS(Måned!$A$5:$A$2000,$A50,Måned!$C$5:$C$2000,MONTH(BE$5+3))=0,"",MAX(1,MIN(5,SUMIFS(Måned!$H$5:$H$2000,Måned!$A$5:$A$2000,$A50,Måned!$C$5:$C$2000,MONTH(BE$5+3))+SUMPRODUCT((Vinduer!$A$5:$A$300=$A50)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1">
      <c r="A51" s="5">
        <f>IF(Destinasjoner!A47="","",Destinasjoner!A47)</f>
        <v/>
      </c>
      <c r="B51" s="5">
        <f>IF(A51="","",Destinasjoner!E47)</f>
        <v/>
      </c>
      <c r="C51" s="5">
        <f>IF(A51="","",Destinasjoner!B47)</f>
        <v/>
      </c>
      <c r="D51" s="17">
        <f>IFERROR(SUMIFS(F51:BE51,$F$7:$BE$7,"x")/COUNTIFS($F$7:$BE$7,"x",F51:BE51,"&gt;0"),"")</f>
        <v/>
      </c>
      <c r="E51" s="18">
        <f>IF(D51="","",_xlfn.MINIFS(F51:BE51,$F$7:$BE$7,"x",F51:BE51,"&gt;0"))</f>
        <v/>
      </c>
      <c r="F51" s="19">
        <f>IF($A51="","",IF(COUNTIFS(Måned!$A$5:$A$2000,$A51,Måned!$C$5:$C$2000,MONTH(F$5+3))=0,"",MAX(1,MIN(5,SUMIFS(Måned!$H$5:$H$2000,Måned!$A$5:$A$2000,$A51,Måned!$C$5:$C$2000,MONTH(F$5+3))+SUMPRODUCT((Vinduer!$A$5:$A$300=$A51)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1" s="19">
        <f>IF($A51="","",IF(COUNTIFS(Måned!$A$5:$A$2000,$A51,Måned!$C$5:$C$2000,MONTH(G$5+3))=0,"",MAX(1,MIN(5,SUMIFS(Måned!$H$5:$H$2000,Måned!$A$5:$A$2000,$A51,Måned!$C$5:$C$2000,MONTH(G$5+3))+SUMPRODUCT((Vinduer!$A$5:$A$300=$A51)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1" s="19">
        <f>IF($A51="","",IF(COUNTIFS(Måned!$A$5:$A$2000,$A51,Måned!$C$5:$C$2000,MONTH(H$5+3))=0,"",MAX(1,MIN(5,SUMIFS(Måned!$H$5:$H$2000,Måned!$A$5:$A$2000,$A51,Måned!$C$5:$C$2000,MONTH(H$5+3))+SUMPRODUCT((Vinduer!$A$5:$A$300=$A51)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1" s="19">
        <f>IF($A51="","",IF(COUNTIFS(Måned!$A$5:$A$2000,$A51,Måned!$C$5:$C$2000,MONTH(I$5+3))=0,"",MAX(1,MIN(5,SUMIFS(Måned!$H$5:$H$2000,Måned!$A$5:$A$2000,$A51,Måned!$C$5:$C$2000,MONTH(I$5+3))+SUMPRODUCT((Vinduer!$A$5:$A$300=$A51)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1" s="19">
        <f>IF($A51="","",IF(COUNTIFS(Måned!$A$5:$A$2000,$A51,Måned!$C$5:$C$2000,MONTH(J$5+3))=0,"",MAX(1,MIN(5,SUMIFS(Måned!$H$5:$H$2000,Måned!$A$5:$A$2000,$A51,Måned!$C$5:$C$2000,MONTH(J$5+3))+SUMPRODUCT((Vinduer!$A$5:$A$300=$A51)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1" s="19">
        <f>IF($A51="","",IF(COUNTIFS(Måned!$A$5:$A$2000,$A51,Måned!$C$5:$C$2000,MONTH(K$5+3))=0,"",MAX(1,MIN(5,SUMIFS(Måned!$H$5:$H$2000,Måned!$A$5:$A$2000,$A51,Måned!$C$5:$C$2000,MONTH(K$5+3))+SUMPRODUCT((Vinduer!$A$5:$A$300=$A51)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1" s="19">
        <f>IF($A51="","",IF(COUNTIFS(Måned!$A$5:$A$2000,$A51,Måned!$C$5:$C$2000,MONTH(L$5+3))=0,"",MAX(1,MIN(5,SUMIFS(Måned!$H$5:$H$2000,Måned!$A$5:$A$2000,$A51,Måned!$C$5:$C$2000,MONTH(L$5+3))+SUMPRODUCT((Vinduer!$A$5:$A$300=$A51)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1" s="19">
        <f>IF($A51="","",IF(COUNTIFS(Måned!$A$5:$A$2000,$A51,Måned!$C$5:$C$2000,MONTH(M$5+3))=0,"",MAX(1,MIN(5,SUMIFS(Måned!$H$5:$H$2000,Måned!$A$5:$A$2000,$A51,Måned!$C$5:$C$2000,MONTH(M$5+3))+SUMPRODUCT((Vinduer!$A$5:$A$300=$A51)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1" s="19">
        <f>IF($A51="","",IF(COUNTIFS(Måned!$A$5:$A$2000,$A51,Måned!$C$5:$C$2000,MONTH(N$5+3))=0,"",MAX(1,MIN(5,SUMIFS(Måned!$H$5:$H$2000,Måned!$A$5:$A$2000,$A51,Måned!$C$5:$C$2000,MONTH(N$5+3))+SUMPRODUCT((Vinduer!$A$5:$A$300=$A51)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1" s="19">
        <f>IF($A51="","",IF(COUNTIFS(Måned!$A$5:$A$2000,$A51,Måned!$C$5:$C$2000,MONTH(O$5+3))=0,"",MAX(1,MIN(5,SUMIFS(Måned!$H$5:$H$2000,Måned!$A$5:$A$2000,$A51,Måned!$C$5:$C$2000,MONTH(O$5+3))+SUMPRODUCT((Vinduer!$A$5:$A$300=$A51)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1" s="19">
        <f>IF($A51="","",IF(COUNTIFS(Måned!$A$5:$A$2000,$A51,Måned!$C$5:$C$2000,MONTH(P$5+3))=0,"",MAX(1,MIN(5,SUMIFS(Måned!$H$5:$H$2000,Måned!$A$5:$A$2000,$A51,Måned!$C$5:$C$2000,MONTH(P$5+3))+SUMPRODUCT((Vinduer!$A$5:$A$300=$A51)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1" s="19">
        <f>IF($A51="","",IF(COUNTIFS(Måned!$A$5:$A$2000,$A51,Måned!$C$5:$C$2000,MONTH(Q$5+3))=0,"",MAX(1,MIN(5,SUMIFS(Måned!$H$5:$H$2000,Måned!$A$5:$A$2000,$A51,Måned!$C$5:$C$2000,MONTH(Q$5+3))+SUMPRODUCT((Vinduer!$A$5:$A$300=$A51)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1" s="19">
        <f>IF($A51="","",IF(COUNTIFS(Måned!$A$5:$A$2000,$A51,Måned!$C$5:$C$2000,MONTH(R$5+3))=0,"",MAX(1,MIN(5,SUMIFS(Måned!$H$5:$H$2000,Måned!$A$5:$A$2000,$A51,Måned!$C$5:$C$2000,MONTH(R$5+3))+SUMPRODUCT((Vinduer!$A$5:$A$300=$A51)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1" s="19">
        <f>IF($A51="","",IF(COUNTIFS(Måned!$A$5:$A$2000,$A51,Måned!$C$5:$C$2000,MONTH(S$5+3))=0,"",MAX(1,MIN(5,SUMIFS(Måned!$H$5:$H$2000,Måned!$A$5:$A$2000,$A51,Måned!$C$5:$C$2000,MONTH(S$5+3))+SUMPRODUCT((Vinduer!$A$5:$A$300=$A51)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1" s="19">
        <f>IF($A51="","",IF(COUNTIFS(Måned!$A$5:$A$2000,$A51,Måned!$C$5:$C$2000,MONTH(T$5+3))=0,"",MAX(1,MIN(5,SUMIFS(Måned!$H$5:$H$2000,Måned!$A$5:$A$2000,$A51,Måned!$C$5:$C$2000,MONTH(T$5+3))+SUMPRODUCT((Vinduer!$A$5:$A$300=$A51)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1" s="19">
        <f>IF($A51="","",IF(COUNTIFS(Måned!$A$5:$A$2000,$A51,Måned!$C$5:$C$2000,MONTH(U$5+3))=0,"",MAX(1,MIN(5,SUMIFS(Måned!$H$5:$H$2000,Måned!$A$5:$A$2000,$A51,Måned!$C$5:$C$2000,MONTH(U$5+3))+SUMPRODUCT((Vinduer!$A$5:$A$300=$A51)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1" s="19">
        <f>IF($A51="","",IF(COUNTIFS(Måned!$A$5:$A$2000,$A51,Måned!$C$5:$C$2000,MONTH(V$5+3))=0,"",MAX(1,MIN(5,SUMIFS(Måned!$H$5:$H$2000,Måned!$A$5:$A$2000,$A51,Måned!$C$5:$C$2000,MONTH(V$5+3))+SUMPRODUCT((Vinduer!$A$5:$A$300=$A51)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1" s="19">
        <f>IF($A51="","",IF(COUNTIFS(Måned!$A$5:$A$2000,$A51,Måned!$C$5:$C$2000,MONTH(W$5+3))=0,"",MAX(1,MIN(5,SUMIFS(Måned!$H$5:$H$2000,Måned!$A$5:$A$2000,$A51,Måned!$C$5:$C$2000,MONTH(W$5+3))+SUMPRODUCT((Vinduer!$A$5:$A$300=$A51)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1" s="19">
        <f>IF($A51="","",IF(COUNTIFS(Måned!$A$5:$A$2000,$A51,Måned!$C$5:$C$2000,MONTH(X$5+3))=0,"",MAX(1,MIN(5,SUMIFS(Måned!$H$5:$H$2000,Måned!$A$5:$A$2000,$A51,Måned!$C$5:$C$2000,MONTH(X$5+3))+SUMPRODUCT((Vinduer!$A$5:$A$300=$A51)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1" s="19">
        <f>IF($A51="","",IF(COUNTIFS(Måned!$A$5:$A$2000,$A51,Måned!$C$5:$C$2000,MONTH(Y$5+3))=0,"",MAX(1,MIN(5,SUMIFS(Måned!$H$5:$H$2000,Måned!$A$5:$A$2000,$A51,Måned!$C$5:$C$2000,MONTH(Y$5+3))+SUMPRODUCT((Vinduer!$A$5:$A$300=$A51)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1" s="19">
        <f>IF($A51="","",IF(COUNTIFS(Måned!$A$5:$A$2000,$A51,Måned!$C$5:$C$2000,MONTH(Z$5+3))=0,"",MAX(1,MIN(5,SUMIFS(Måned!$H$5:$H$2000,Måned!$A$5:$A$2000,$A51,Måned!$C$5:$C$2000,MONTH(Z$5+3))+SUMPRODUCT((Vinduer!$A$5:$A$300=$A51)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1" s="19">
        <f>IF($A51="","",IF(COUNTIFS(Måned!$A$5:$A$2000,$A51,Måned!$C$5:$C$2000,MONTH(AA$5+3))=0,"",MAX(1,MIN(5,SUMIFS(Måned!$H$5:$H$2000,Måned!$A$5:$A$2000,$A51,Måned!$C$5:$C$2000,MONTH(AA$5+3))+SUMPRODUCT((Vinduer!$A$5:$A$300=$A51)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1" s="19">
        <f>IF($A51="","",IF(COUNTIFS(Måned!$A$5:$A$2000,$A51,Måned!$C$5:$C$2000,MONTH(AB$5+3))=0,"",MAX(1,MIN(5,SUMIFS(Måned!$H$5:$H$2000,Måned!$A$5:$A$2000,$A51,Måned!$C$5:$C$2000,MONTH(AB$5+3))+SUMPRODUCT((Vinduer!$A$5:$A$300=$A51)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1" s="19">
        <f>IF($A51="","",IF(COUNTIFS(Måned!$A$5:$A$2000,$A51,Måned!$C$5:$C$2000,MONTH(AC$5+3))=0,"",MAX(1,MIN(5,SUMIFS(Måned!$H$5:$H$2000,Måned!$A$5:$A$2000,$A51,Måned!$C$5:$C$2000,MONTH(AC$5+3))+SUMPRODUCT((Vinduer!$A$5:$A$300=$A51)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1" s="19">
        <f>IF($A51="","",IF(COUNTIFS(Måned!$A$5:$A$2000,$A51,Måned!$C$5:$C$2000,MONTH(AD$5+3))=0,"",MAX(1,MIN(5,SUMIFS(Måned!$H$5:$H$2000,Måned!$A$5:$A$2000,$A51,Måned!$C$5:$C$2000,MONTH(AD$5+3))+SUMPRODUCT((Vinduer!$A$5:$A$300=$A51)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1" s="19">
        <f>IF($A51="","",IF(COUNTIFS(Måned!$A$5:$A$2000,$A51,Måned!$C$5:$C$2000,MONTH(AE$5+3))=0,"",MAX(1,MIN(5,SUMIFS(Måned!$H$5:$H$2000,Måned!$A$5:$A$2000,$A51,Måned!$C$5:$C$2000,MONTH(AE$5+3))+SUMPRODUCT((Vinduer!$A$5:$A$300=$A51)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1" s="19">
        <f>IF($A51="","",IF(COUNTIFS(Måned!$A$5:$A$2000,$A51,Måned!$C$5:$C$2000,MONTH(AF$5+3))=0,"",MAX(1,MIN(5,SUMIFS(Måned!$H$5:$H$2000,Måned!$A$5:$A$2000,$A51,Måned!$C$5:$C$2000,MONTH(AF$5+3))+SUMPRODUCT((Vinduer!$A$5:$A$300=$A51)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1" s="19">
        <f>IF($A51="","",IF(COUNTIFS(Måned!$A$5:$A$2000,$A51,Måned!$C$5:$C$2000,MONTH(AG$5+3))=0,"",MAX(1,MIN(5,SUMIFS(Måned!$H$5:$H$2000,Måned!$A$5:$A$2000,$A51,Måned!$C$5:$C$2000,MONTH(AG$5+3))+SUMPRODUCT((Vinduer!$A$5:$A$300=$A51)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1" s="19">
        <f>IF($A51="","",IF(COUNTIFS(Måned!$A$5:$A$2000,$A51,Måned!$C$5:$C$2000,MONTH(AH$5+3))=0,"",MAX(1,MIN(5,SUMIFS(Måned!$H$5:$H$2000,Måned!$A$5:$A$2000,$A51,Måned!$C$5:$C$2000,MONTH(AH$5+3))+SUMPRODUCT((Vinduer!$A$5:$A$300=$A51)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1" s="19">
        <f>IF($A51="","",IF(COUNTIFS(Måned!$A$5:$A$2000,$A51,Måned!$C$5:$C$2000,MONTH(AI$5+3))=0,"",MAX(1,MIN(5,SUMIFS(Måned!$H$5:$H$2000,Måned!$A$5:$A$2000,$A51,Måned!$C$5:$C$2000,MONTH(AI$5+3))+SUMPRODUCT((Vinduer!$A$5:$A$300=$A51)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1" s="19">
        <f>IF($A51="","",IF(COUNTIFS(Måned!$A$5:$A$2000,$A51,Måned!$C$5:$C$2000,MONTH(AJ$5+3))=0,"",MAX(1,MIN(5,SUMIFS(Måned!$H$5:$H$2000,Måned!$A$5:$A$2000,$A51,Måned!$C$5:$C$2000,MONTH(AJ$5+3))+SUMPRODUCT((Vinduer!$A$5:$A$300=$A51)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1" s="19">
        <f>IF($A51="","",IF(COUNTIFS(Måned!$A$5:$A$2000,$A51,Måned!$C$5:$C$2000,MONTH(AK$5+3))=0,"",MAX(1,MIN(5,SUMIFS(Måned!$H$5:$H$2000,Måned!$A$5:$A$2000,$A51,Måned!$C$5:$C$2000,MONTH(AK$5+3))+SUMPRODUCT((Vinduer!$A$5:$A$300=$A51)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1" s="19">
        <f>IF($A51="","",IF(COUNTIFS(Måned!$A$5:$A$2000,$A51,Måned!$C$5:$C$2000,MONTH(AL$5+3))=0,"",MAX(1,MIN(5,SUMIFS(Måned!$H$5:$H$2000,Måned!$A$5:$A$2000,$A51,Måned!$C$5:$C$2000,MONTH(AL$5+3))+SUMPRODUCT((Vinduer!$A$5:$A$300=$A51)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1" s="19">
        <f>IF($A51="","",IF(COUNTIFS(Måned!$A$5:$A$2000,$A51,Måned!$C$5:$C$2000,MONTH(AM$5+3))=0,"",MAX(1,MIN(5,SUMIFS(Måned!$H$5:$H$2000,Måned!$A$5:$A$2000,$A51,Måned!$C$5:$C$2000,MONTH(AM$5+3))+SUMPRODUCT((Vinduer!$A$5:$A$300=$A51)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1" s="19">
        <f>IF($A51="","",IF(COUNTIFS(Måned!$A$5:$A$2000,$A51,Måned!$C$5:$C$2000,MONTH(AN$5+3))=0,"",MAX(1,MIN(5,SUMIFS(Måned!$H$5:$H$2000,Måned!$A$5:$A$2000,$A51,Måned!$C$5:$C$2000,MONTH(AN$5+3))+SUMPRODUCT((Vinduer!$A$5:$A$300=$A51)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1" s="19">
        <f>IF($A51="","",IF(COUNTIFS(Måned!$A$5:$A$2000,$A51,Måned!$C$5:$C$2000,MONTH(AO$5+3))=0,"",MAX(1,MIN(5,SUMIFS(Måned!$H$5:$H$2000,Måned!$A$5:$A$2000,$A51,Måned!$C$5:$C$2000,MONTH(AO$5+3))+SUMPRODUCT((Vinduer!$A$5:$A$300=$A51)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1" s="19">
        <f>IF($A51="","",IF(COUNTIFS(Måned!$A$5:$A$2000,$A51,Måned!$C$5:$C$2000,MONTH(AP$5+3))=0,"",MAX(1,MIN(5,SUMIFS(Måned!$H$5:$H$2000,Måned!$A$5:$A$2000,$A51,Måned!$C$5:$C$2000,MONTH(AP$5+3))+SUMPRODUCT((Vinduer!$A$5:$A$300=$A51)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1" s="19">
        <f>IF($A51="","",IF(COUNTIFS(Måned!$A$5:$A$2000,$A51,Måned!$C$5:$C$2000,MONTH(AQ$5+3))=0,"",MAX(1,MIN(5,SUMIFS(Måned!$H$5:$H$2000,Måned!$A$5:$A$2000,$A51,Måned!$C$5:$C$2000,MONTH(AQ$5+3))+SUMPRODUCT((Vinduer!$A$5:$A$300=$A51)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1" s="19">
        <f>IF($A51="","",IF(COUNTIFS(Måned!$A$5:$A$2000,$A51,Måned!$C$5:$C$2000,MONTH(AR$5+3))=0,"",MAX(1,MIN(5,SUMIFS(Måned!$H$5:$H$2000,Måned!$A$5:$A$2000,$A51,Måned!$C$5:$C$2000,MONTH(AR$5+3))+SUMPRODUCT((Vinduer!$A$5:$A$300=$A51)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1" s="19">
        <f>IF($A51="","",IF(COUNTIFS(Måned!$A$5:$A$2000,$A51,Måned!$C$5:$C$2000,MONTH(AS$5+3))=0,"",MAX(1,MIN(5,SUMIFS(Måned!$H$5:$H$2000,Måned!$A$5:$A$2000,$A51,Måned!$C$5:$C$2000,MONTH(AS$5+3))+SUMPRODUCT((Vinduer!$A$5:$A$300=$A51)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1" s="19">
        <f>IF($A51="","",IF(COUNTIFS(Måned!$A$5:$A$2000,$A51,Måned!$C$5:$C$2000,MONTH(AT$5+3))=0,"",MAX(1,MIN(5,SUMIFS(Måned!$H$5:$H$2000,Måned!$A$5:$A$2000,$A51,Måned!$C$5:$C$2000,MONTH(AT$5+3))+SUMPRODUCT((Vinduer!$A$5:$A$300=$A51)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1" s="19">
        <f>IF($A51="","",IF(COUNTIFS(Måned!$A$5:$A$2000,$A51,Måned!$C$5:$C$2000,MONTH(AU$5+3))=0,"",MAX(1,MIN(5,SUMIFS(Måned!$H$5:$H$2000,Måned!$A$5:$A$2000,$A51,Måned!$C$5:$C$2000,MONTH(AU$5+3))+SUMPRODUCT((Vinduer!$A$5:$A$300=$A51)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1" s="19">
        <f>IF($A51="","",IF(COUNTIFS(Måned!$A$5:$A$2000,$A51,Måned!$C$5:$C$2000,MONTH(AV$5+3))=0,"",MAX(1,MIN(5,SUMIFS(Måned!$H$5:$H$2000,Måned!$A$5:$A$2000,$A51,Måned!$C$5:$C$2000,MONTH(AV$5+3))+SUMPRODUCT((Vinduer!$A$5:$A$300=$A51)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1" s="19">
        <f>IF($A51="","",IF(COUNTIFS(Måned!$A$5:$A$2000,$A51,Måned!$C$5:$C$2000,MONTH(AW$5+3))=0,"",MAX(1,MIN(5,SUMIFS(Måned!$H$5:$H$2000,Måned!$A$5:$A$2000,$A51,Måned!$C$5:$C$2000,MONTH(AW$5+3))+SUMPRODUCT((Vinduer!$A$5:$A$300=$A51)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1" s="19">
        <f>IF($A51="","",IF(COUNTIFS(Måned!$A$5:$A$2000,$A51,Måned!$C$5:$C$2000,MONTH(AX$5+3))=0,"",MAX(1,MIN(5,SUMIFS(Måned!$H$5:$H$2000,Måned!$A$5:$A$2000,$A51,Måned!$C$5:$C$2000,MONTH(AX$5+3))+SUMPRODUCT((Vinduer!$A$5:$A$300=$A51)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1" s="19">
        <f>IF($A51="","",IF(COUNTIFS(Måned!$A$5:$A$2000,$A51,Måned!$C$5:$C$2000,MONTH(AY$5+3))=0,"",MAX(1,MIN(5,SUMIFS(Måned!$H$5:$H$2000,Måned!$A$5:$A$2000,$A51,Måned!$C$5:$C$2000,MONTH(AY$5+3))+SUMPRODUCT((Vinduer!$A$5:$A$300=$A51)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1" s="19">
        <f>IF($A51="","",IF(COUNTIFS(Måned!$A$5:$A$2000,$A51,Måned!$C$5:$C$2000,MONTH(AZ$5+3))=0,"",MAX(1,MIN(5,SUMIFS(Måned!$H$5:$H$2000,Måned!$A$5:$A$2000,$A51,Måned!$C$5:$C$2000,MONTH(AZ$5+3))+SUMPRODUCT((Vinduer!$A$5:$A$300=$A51)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1" s="19">
        <f>IF($A51="","",IF(COUNTIFS(Måned!$A$5:$A$2000,$A51,Måned!$C$5:$C$2000,MONTH(BA$5+3))=0,"",MAX(1,MIN(5,SUMIFS(Måned!$H$5:$H$2000,Måned!$A$5:$A$2000,$A51,Måned!$C$5:$C$2000,MONTH(BA$5+3))+SUMPRODUCT((Vinduer!$A$5:$A$300=$A51)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1" s="19">
        <f>IF($A51="","",IF(COUNTIFS(Måned!$A$5:$A$2000,$A51,Måned!$C$5:$C$2000,MONTH(BB$5+3))=0,"",MAX(1,MIN(5,SUMIFS(Måned!$H$5:$H$2000,Måned!$A$5:$A$2000,$A51,Måned!$C$5:$C$2000,MONTH(BB$5+3))+SUMPRODUCT((Vinduer!$A$5:$A$300=$A51)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1" s="19">
        <f>IF($A51="","",IF(COUNTIFS(Måned!$A$5:$A$2000,$A51,Måned!$C$5:$C$2000,MONTH(BC$5+3))=0,"",MAX(1,MIN(5,SUMIFS(Måned!$H$5:$H$2000,Måned!$A$5:$A$2000,$A51,Måned!$C$5:$C$2000,MONTH(BC$5+3))+SUMPRODUCT((Vinduer!$A$5:$A$300=$A51)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1" s="19">
        <f>IF($A51="","",IF(COUNTIFS(Måned!$A$5:$A$2000,$A51,Måned!$C$5:$C$2000,MONTH(BD$5+3))=0,"",MAX(1,MIN(5,SUMIFS(Måned!$H$5:$H$2000,Måned!$A$5:$A$2000,$A51,Måned!$C$5:$C$2000,MONTH(BD$5+3))+SUMPRODUCT((Vinduer!$A$5:$A$300=$A51)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1" s="19">
        <f>IF($A51="","",IF(COUNTIFS(Måned!$A$5:$A$2000,$A51,Måned!$C$5:$C$2000,MONTH(BE$5+3))=0,"",MAX(1,MIN(5,SUMIFS(Måned!$H$5:$H$2000,Måned!$A$5:$A$2000,$A51,Måned!$C$5:$C$2000,MONTH(BE$5+3))+SUMPRODUCT((Vinduer!$A$5:$A$300=$A51)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2">
      <c r="A52" s="5">
        <f>IF(Destinasjoner!A48="","",Destinasjoner!A48)</f>
        <v/>
      </c>
      <c r="B52" s="5">
        <f>IF(A52="","",Destinasjoner!E48)</f>
        <v/>
      </c>
      <c r="C52" s="5">
        <f>IF(A52="","",Destinasjoner!B48)</f>
        <v/>
      </c>
      <c r="D52" s="17">
        <f>IFERROR(SUMIFS(F52:BE52,$F$7:$BE$7,"x")/COUNTIFS($F$7:$BE$7,"x",F52:BE52,"&gt;0"),"")</f>
        <v/>
      </c>
      <c r="E52" s="18">
        <f>IF(D52="","",_xlfn.MINIFS(F52:BE52,$F$7:$BE$7,"x",F52:BE52,"&gt;0"))</f>
        <v/>
      </c>
      <c r="F52" s="19">
        <f>IF($A52="","",IF(COUNTIFS(Måned!$A$5:$A$2000,$A52,Måned!$C$5:$C$2000,MONTH(F$5+3))=0,"",MAX(1,MIN(5,SUMIFS(Måned!$H$5:$H$2000,Måned!$A$5:$A$2000,$A52,Måned!$C$5:$C$2000,MONTH(F$5+3))+SUMPRODUCT((Vinduer!$A$5:$A$300=$A52)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2" s="19">
        <f>IF($A52="","",IF(COUNTIFS(Måned!$A$5:$A$2000,$A52,Måned!$C$5:$C$2000,MONTH(G$5+3))=0,"",MAX(1,MIN(5,SUMIFS(Måned!$H$5:$H$2000,Måned!$A$5:$A$2000,$A52,Måned!$C$5:$C$2000,MONTH(G$5+3))+SUMPRODUCT((Vinduer!$A$5:$A$300=$A52)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2" s="19">
        <f>IF($A52="","",IF(COUNTIFS(Måned!$A$5:$A$2000,$A52,Måned!$C$5:$C$2000,MONTH(H$5+3))=0,"",MAX(1,MIN(5,SUMIFS(Måned!$H$5:$H$2000,Måned!$A$5:$A$2000,$A52,Måned!$C$5:$C$2000,MONTH(H$5+3))+SUMPRODUCT((Vinduer!$A$5:$A$300=$A52)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2" s="19">
        <f>IF($A52="","",IF(COUNTIFS(Måned!$A$5:$A$2000,$A52,Måned!$C$5:$C$2000,MONTH(I$5+3))=0,"",MAX(1,MIN(5,SUMIFS(Måned!$H$5:$H$2000,Måned!$A$5:$A$2000,$A52,Måned!$C$5:$C$2000,MONTH(I$5+3))+SUMPRODUCT((Vinduer!$A$5:$A$300=$A52)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2" s="19">
        <f>IF($A52="","",IF(COUNTIFS(Måned!$A$5:$A$2000,$A52,Måned!$C$5:$C$2000,MONTH(J$5+3))=0,"",MAX(1,MIN(5,SUMIFS(Måned!$H$5:$H$2000,Måned!$A$5:$A$2000,$A52,Måned!$C$5:$C$2000,MONTH(J$5+3))+SUMPRODUCT((Vinduer!$A$5:$A$300=$A52)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2" s="19">
        <f>IF($A52="","",IF(COUNTIFS(Måned!$A$5:$A$2000,$A52,Måned!$C$5:$C$2000,MONTH(K$5+3))=0,"",MAX(1,MIN(5,SUMIFS(Måned!$H$5:$H$2000,Måned!$A$5:$A$2000,$A52,Måned!$C$5:$C$2000,MONTH(K$5+3))+SUMPRODUCT((Vinduer!$A$5:$A$300=$A52)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2" s="19">
        <f>IF($A52="","",IF(COUNTIFS(Måned!$A$5:$A$2000,$A52,Måned!$C$5:$C$2000,MONTH(L$5+3))=0,"",MAX(1,MIN(5,SUMIFS(Måned!$H$5:$H$2000,Måned!$A$5:$A$2000,$A52,Måned!$C$5:$C$2000,MONTH(L$5+3))+SUMPRODUCT((Vinduer!$A$5:$A$300=$A52)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2" s="19">
        <f>IF($A52="","",IF(COUNTIFS(Måned!$A$5:$A$2000,$A52,Måned!$C$5:$C$2000,MONTH(M$5+3))=0,"",MAX(1,MIN(5,SUMIFS(Måned!$H$5:$H$2000,Måned!$A$5:$A$2000,$A52,Måned!$C$5:$C$2000,MONTH(M$5+3))+SUMPRODUCT((Vinduer!$A$5:$A$300=$A52)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2" s="19">
        <f>IF($A52="","",IF(COUNTIFS(Måned!$A$5:$A$2000,$A52,Måned!$C$5:$C$2000,MONTH(N$5+3))=0,"",MAX(1,MIN(5,SUMIFS(Måned!$H$5:$H$2000,Måned!$A$5:$A$2000,$A52,Måned!$C$5:$C$2000,MONTH(N$5+3))+SUMPRODUCT((Vinduer!$A$5:$A$300=$A52)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2" s="19">
        <f>IF($A52="","",IF(COUNTIFS(Måned!$A$5:$A$2000,$A52,Måned!$C$5:$C$2000,MONTH(O$5+3))=0,"",MAX(1,MIN(5,SUMIFS(Måned!$H$5:$H$2000,Måned!$A$5:$A$2000,$A52,Måned!$C$5:$C$2000,MONTH(O$5+3))+SUMPRODUCT((Vinduer!$A$5:$A$300=$A52)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2" s="19">
        <f>IF($A52="","",IF(COUNTIFS(Måned!$A$5:$A$2000,$A52,Måned!$C$5:$C$2000,MONTH(P$5+3))=0,"",MAX(1,MIN(5,SUMIFS(Måned!$H$5:$H$2000,Måned!$A$5:$A$2000,$A52,Måned!$C$5:$C$2000,MONTH(P$5+3))+SUMPRODUCT((Vinduer!$A$5:$A$300=$A52)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2" s="19">
        <f>IF($A52="","",IF(COUNTIFS(Måned!$A$5:$A$2000,$A52,Måned!$C$5:$C$2000,MONTH(Q$5+3))=0,"",MAX(1,MIN(5,SUMIFS(Måned!$H$5:$H$2000,Måned!$A$5:$A$2000,$A52,Måned!$C$5:$C$2000,MONTH(Q$5+3))+SUMPRODUCT((Vinduer!$A$5:$A$300=$A52)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2" s="19">
        <f>IF($A52="","",IF(COUNTIFS(Måned!$A$5:$A$2000,$A52,Måned!$C$5:$C$2000,MONTH(R$5+3))=0,"",MAX(1,MIN(5,SUMIFS(Måned!$H$5:$H$2000,Måned!$A$5:$A$2000,$A52,Måned!$C$5:$C$2000,MONTH(R$5+3))+SUMPRODUCT((Vinduer!$A$5:$A$300=$A52)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2" s="19">
        <f>IF($A52="","",IF(COUNTIFS(Måned!$A$5:$A$2000,$A52,Måned!$C$5:$C$2000,MONTH(S$5+3))=0,"",MAX(1,MIN(5,SUMIFS(Måned!$H$5:$H$2000,Måned!$A$5:$A$2000,$A52,Måned!$C$5:$C$2000,MONTH(S$5+3))+SUMPRODUCT((Vinduer!$A$5:$A$300=$A52)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2" s="19">
        <f>IF($A52="","",IF(COUNTIFS(Måned!$A$5:$A$2000,$A52,Måned!$C$5:$C$2000,MONTH(T$5+3))=0,"",MAX(1,MIN(5,SUMIFS(Måned!$H$5:$H$2000,Måned!$A$5:$A$2000,$A52,Måned!$C$5:$C$2000,MONTH(T$5+3))+SUMPRODUCT((Vinduer!$A$5:$A$300=$A52)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2" s="19">
        <f>IF($A52="","",IF(COUNTIFS(Måned!$A$5:$A$2000,$A52,Måned!$C$5:$C$2000,MONTH(U$5+3))=0,"",MAX(1,MIN(5,SUMIFS(Måned!$H$5:$H$2000,Måned!$A$5:$A$2000,$A52,Måned!$C$5:$C$2000,MONTH(U$5+3))+SUMPRODUCT((Vinduer!$A$5:$A$300=$A52)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2" s="19">
        <f>IF($A52="","",IF(COUNTIFS(Måned!$A$5:$A$2000,$A52,Måned!$C$5:$C$2000,MONTH(V$5+3))=0,"",MAX(1,MIN(5,SUMIFS(Måned!$H$5:$H$2000,Måned!$A$5:$A$2000,$A52,Måned!$C$5:$C$2000,MONTH(V$5+3))+SUMPRODUCT((Vinduer!$A$5:$A$300=$A52)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2" s="19">
        <f>IF($A52="","",IF(COUNTIFS(Måned!$A$5:$A$2000,$A52,Måned!$C$5:$C$2000,MONTH(W$5+3))=0,"",MAX(1,MIN(5,SUMIFS(Måned!$H$5:$H$2000,Måned!$A$5:$A$2000,$A52,Måned!$C$5:$C$2000,MONTH(W$5+3))+SUMPRODUCT((Vinduer!$A$5:$A$300=$A52)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2" s="19">
        <f>IF($A52="","",IF(COUNTIFS(Måned!$A$5:$A$2000,$A52,Måned!$C$5:$C$2000,MONTH(X$5+3))=0,"",MAX(1,MIN(5,SUMIFS(Måned!$H$5:$H$2000,Måned!$A$5:$A$2000,$A52,Måned!$C$5:$C$2000,MONTH(X$5+3))+SUMPRODUCT((Vinduer!$A$5:$A$300=$A52)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2" s="19">
        <f>IF($A52="","",IF(COUNTIFS(Måned!$A$5:$A$2000,$A52,Måned!$C$5:$C$2000,MONTH(Y$5+3))=0,"",MAX(1,MIN(5,SUMIFS(Måned!$H$5:$H$2000,Måned!$A$5:$A$2000,$A52,Måned!$C$5:$C$2000,MONTH(Y$5+3))+SUMPRODUCT((Vinduer!$A$5:$A$300=$A52)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2" s="19">
        <f>IF($A52="","",IF(COUNTIFS(Måned!$A$5:$A$2000,$A52,Måned!$C$5:$C$2000,MONTH(Z$5+3))=0,"",MAX(1,MIN(5,SUMIFS(Måned!$H$5:$H$2000,Måned!$A$5:$A$2000,$A52,Måned!$C$5:$C$2000,MONTH(Z$5+3))+SUMPRODUCT((Vinduer!$A$5:$A$300=$A52)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2" s="19">
        <f>IF($A52="","",IF(COUNTIFS(Måned!$A$5:$A$2000,$A52,Måned!$C$5:$C$2000,MONTH(AA$5+3))=0,"",MAX(1,MIN(5,SUMIFS(Måned!$H$5:$H$2000,Måned!$A$5:$A$2000,$A52,Måned!$C$5:$C$2000,MONTH(AA$5+3))+SUMPRODUCT((Vinduer!$A$5:$A$300=$A52)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2" s="19">
        <f>IF($A52="","",IF(COUNTIFS(Måned!$A$5:$A$2000,$A52,Måned!$C$5:$C$2000,MONTH(AB$5+3))=0,"",MAX(1,MIN(5,SUMIFS(Måned!$H$5:$H$2000,Måned!$A$5:$A$2000,$A52,Måned!$C$5:$C$2000,MONTH(AB$5+3))+SUMPRODUCT((Vinduer!$A$5:$A$300=$A52)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2" s="19">
        <f>IF($A52="","",IF(COUNTIFS(Måned!$A$5:$A$2000,$A52,Måned!$C$5:$C$2000,MONTH(AC$5+3))=0,"",MAX(1,MIN(5,SUMIFS(Måned!$H$5:$H$2000,Måned!$A$5:$A$2000,$A52,Måned!$C$5:$C$2000,MONTH(AC$5+3))+SUMPRODUCT((Vinduer!$A$5:$A$300=$A52)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2" s="19">
        <f>IF($A52="","",IF(COUNTIFS(Måned!$A$5:$A$2000,$A52,Måned!$C$5:$C$2000,MONTH(AD$5+3))=0,"",MAX(1,MIN(5,SUMIFS(Måned!$H$5:$H$2000,Måned!$A$5:$A$2000,$A52,Måned!$C$5:$C$2000,MONTH(AD$5+3))+SUMPRODUCT((Vinduer!$A$5:$A$300=$A52)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2" s="19">
        <f>IF($A52="","",IF(COUNTIFS(Måned!$A$5:$A$2000,$A52,Måned!$C$5:$C$2000,MONTH(AE$5+3))=0,"",MAX(1,MIN(5,SUMIFS(Måned!$H$5:$H$2000,Måned!$A$5:$A$2000,$A52,Måned!$C$5:$C$2000,MONTH(AE$5+3))+SUMPRODUCT((Vinduer!$A$5:$A$300=$A52)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2" s="19">
        <f>IF($A52="","",IF(COUNTIFS(Måned!$A$5:$A$2000,$A52,Måned!$C$5:$C$2000,MONTH(AF$5+3))=0,"",MAX(1,MIN(5,SUMIFS(Måned!$H$5:$H$2000,Måned!$A$5:$A$2000,$A52,Måned!$C$5:$C$2000,MONTH(AF$5+3))+SUMPRODUCT((Vinduer!$A$5:$A$300=$A52)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2" s="19">
        <f>IF($A52="","",IF(COUNTIFS(Måned!$A$5:$A$2000,$A52,Måned!$C$5:$C$2000,MONTH(AG$5+3))=0,"",MAX(1,MIN(5,SUMIFS(Måned!$H$5:$H$2000,Måned!$A$5:$A$2000,$A52,Måned!$C$5:$C$2000,MONTH(AG$5+3))+SUMPRODUCT((Vinduer!$A$5:$A$300=$A52)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2" s="19">
        <f>IF($A52="","",IF(COUNTIFS(Måned!$A$5:$A$2000,$A52,Måned!$C$5:$C$2000,MONTH(AH$5+3))=0,"",MAX(1,MIN(5,SUMIFS(Måned!$H$5:$H$2000,Måned!$A$5:$A$2000,$A52,Måned!$C$5:$C$2000,MONTH(AH$5+3))+SUMPRODUCT((Vinduer!$A$5:$A$300=$A52)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2" s="19">
        <f>IF($A52="","",IF(COUNTIFS(Måned!$A$5:$A$2000,$A52,Måned!$C$5:$C$2000,MONTH(AI$5+3))=0,"",MAX(1,MIN(5,SUMIFS(Måned!$H$5:$H$2000,Måned!$A$5:$A$2000,$A52,Måned!$C$5:$C$2000,MONTH(AI$5+3))+SUMPRODUCT((Vinduer!$A$5:$A$300=$A52)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2" s="19">
        <f>IF($A52="","",IF(COUNTIFS(Måned!$A$5:$A$2000,$A52,Måned!$C$5:$C$2000,MONTH(AJ$5+3))=0,"",MAX(1,MIN(5,SUMIFS(Måned!$H$5:$H$2000,Måned!$A$5:$A$2000,$A52,Måned!$C$5:$C$2000,MONTH(AJ$5+3))+SUMPRODUCT((Vinduer!$A$5:$A$300=$A52)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2" s="19">
        <f>IF($A52="","",IF(COUNTIFS(Måned!$A$5:$A$2000,$A52,Måned!$C$5:$C$2000,MONTH(AK$5+3))=0,"",MAX(1,MIN(5,SUMIFS(Måned!$H$5:$H$2000,Måned!$A$5:$A$2000,$A52,Måned!$C$5:$C$2000,MONTH(AK$5+3))+SUMPRODUCT((Vinduer!$A$5:$A$300=$A52)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2" s="19">
        <f>IF($A52="","",IF(COUNTIFS(Måned!$A$5:$A$2000,$A52,Måned!$C$5:$C$2000,MONTH(AL$5+3))=0,"",MAX(1,MIN(5,SUMIFS(Måned!$H$5:$H$2000,Måned!$A$5:$A$2000,$A52,Måned!$C$5:$C$2000,MONTH(AL$5+3))+SUMPRODUCT((Vinduer!$A$5:$A$300=$A52)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2" s="19">
        <f>IF($A52="","",IF(COUNTIFS(Måned!$A$5:$A$2000,$A52,Måned!$C$5:$C$2000,MONTH(AM$5+3))=0,"",MAX(1,MIN(5,SUMIFS(Måned!$H$5:$H$2000,Måned!$A$5:$A$2000,$A52,Måned!$C$5:$C$2000,MONTH(AM$5+3))+SUMPRODUCT((Vinduer!$A$5:$A$300=$A52)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2" s="19">
        <f>IF($A52="","",IF(COUNTIFS(Måned!$A$5:$A$2000,$A52,Måned!$C$5:$C$2000,MONTH(AN$5+3))=0,"",MAX(1,MIN(5,SUMIFS(Måned!$H$5:$H$2000,Måned!$A$5:$A$2000,$A52,Måned!$C$5:$C$2000,MONTH(AN$5+3))+SUMPRODUCT((Vinduer!$A$5:$A$300=$A52)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2" s="19">
        <f>IF($A52="","",IF(COUNTIFS(Måned!$A$5:$A$2000,$A52,Måned!$C$5:$C$2000,MONTH(AO$5+3))=0,"",MAX(1,MIN(5,SUMIFS(Måned!$H$5:$H$2000,Måned!$A$5:$A$2000,$A52,Måned!$C$5:$C$2000,MONTH(AO$5+3))+SUMPRODUCT((Vinduer!$A$5:$A$300=$A52)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2" s="19">
        <f>IF($A52="","",IF(COUNTIFS(Måned!$A$5:$A$2000,$A52,Måned!$C$5:$C$2000,MONTH(AP$5+3))=0,"",MAX(1,MIN(5,SUMIFS(Måned!$H$5:$H$2000,Måned!$A$5:$A$2000,$A52,Måned!$C$5:$C$2000,MONTH(AP$5+3))+SUMPRODUCT((Vinduer!$A$5:$A$300=$A52)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2" s="19">
        <f>IF($A52="","",IF(COUNTIFS(Måned!$A$5:$A$2000,$A52,Måned!$C$5:$C$2000,MONTH(AQ$5+3))=0,"",MAX(1,MIN(5,SUMIFS(Måned!$H$5:$H$2000,Måned!$A$5:$A$2000,$A52,Måned!$C$5:$C$2000,MONTH(AQ$5+3))+SUMPRODUCT((Vinduer!$A$5:$A$300=$A52)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2" s="19">
        <f>IF($A52="","",IF(COUNTIFS(Måned!$A$5:$A$2000,$A52,Måned!$C$5:$C$2000,MONTH(AR$5+3))=0,"",MAX(1,MIN(5,SUMIFS(Måned!$H$5:$H$2000,Måned!$A$5:$A$2000,$A52,Måned!$C$5:$C$2000,MONTH(AR$5+3))+SUMPRODUCT((Vinduer!$A$5:$A$300=$A52)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2" s="19">
        <f>IF($A52="","",IF(COUNTIFS(Måned!$A$5:$A$2000,$A52,Måned!$C$5:$C$2000,MONTH(AS$5+3))=0,"",MAX(1,MIN(5,SUMIFS(Måned!$H$5:$H$2000,Måned!$A$5:$A$2000,$A52,Måned!$C$5:$C$2000,MONTH(AS$5+3))+SUMPRODUCT((Vinduer!$A$5:$A$300=$A52)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2" s="19">
        <f>IF($A52="","",IF(COUNTIFS(Måned!$A$5:$A$2000,$A52,Måned!$C$5:$C$2000,MONTH(AT$5+3))=0,"",MAX(1,MIN(5,SUMIFS(Måned!$H$5:$H$2000,Måned!$A$5:$A$2000,$A52,Måned!$C$5:$C$2000,MONTH(AT$5+3))+SUMPRODUCT((Vinduer!$A$5:$A$300=$A52)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2" s="19">
        <f>IF($A52="","",IF(COUNTIFS(Måned!$A$5:$A$2000,$A52,Måned!$C$5:$C$2000,MONTH(AU$5+3))=0,"",MAX(1,MIN(5,SUMIFS(Måned!$H$5:$H$2000,Måned!$A$5:$A$2000,$A52,Måned!$C$5:$C$2000,MONTH(AU$5+3))+SUMPRODUCT((Vinduer!$A$5:$A$300=$A52)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2" s="19">
        <f>IF($A52="","",IF(COUNTIFS(Måned!$A$5:$A$2000,$A52,Måned!$C$5:$C$2000,MONTH(AV$5+3))=0,"",MAX(1,MIN(5,SUMIFS(Måned!$H$5:$H$2000,Måned!$A$5:$A$2000,$A52,Måned!$C$5:$C$2000,MONTH(AV$5+3))+SUMPRODUCT((Vinduer!$A$5:$A$300=$A52)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2" s="19">
        <f>IF($A52="","",IF(COUNTIFS(Måned!$A$5:$A$2000,$A52,Måned!$C$5:$C$2000,MONTH(AW$5+3))=0,"",MAX(1,MIN(5,SUMIFS(Måned!$H$5:$H$2000,Måned!$A$5:$A$2000,$A52,Måned!$C$5:$C$2000,MONTH(AW$5+3))+SUMPRODUCT((Vinduer!$A$5:$A$300=$A52)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2" s="19">
        <f>IF($A52="","",IF(COUNTIFS(Måned!$A$5:$A$2000,$A52,Måned!$C$5:$C$2000,MONTH(AX$5+3))=0,"",MAX(1,MIN(5,SUMIFS(Måned!$H$5:$H$2000,Måned!$A$5:$A$2000,$A52,Måned!$C$5:$C$2000,MONTH(AX$5+3))+SUMPRODUCT((Vinduer!$A$5:$A$300=$A52)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2" s="19">
        <f>IF($A52="","",IF(COUNTIFS(Måned!$A$5:$A$2000,$A52,Måned!$C$5:$C$2000,MONTH(AY$5+3))=0,"",MAX(1,MIN(5,SUMIFS(Måned!$H$5:$H$2000,Måned!$A$5:$A$2000,$A52,Måned!$C$5:$C$2000,MONTH(AY$5+3))+SUMPRODUCT((Vinduer!$A$5:$A$300=$A52)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2" s="19">
        <f>IF($A52="","",IF(COUNTIFS(Måned!$A$5:$A$2000,$A52,Måned!$C$5:$C$2000,MONTH(AZ$5+3))=0,"",MAX(1,MIN(5,SUMIFS(Måned!$H$5:$H$2000,Måned!$A$5:$A$2000,$A52,Måned!$C$5:$C$2000,MONTH(AZ$5+3))+SUMPRODUCT((Vinduer!$A$5:$A$300=$A52)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2" s="19">
        <f>IF($A52="","",IF(COUNTIFS(Måned!$A$5:$A$2000,$A52,Måned!$C$5:$C$2000,MONTH(BA$5+3))=0,"",MAX(1,MIN(5,SUMIFS(Måned!$H$5:$H$2000,Måned!$A$5:$A$2000,$A52,Måned!$C$5:$C$2000,MONTH(BA$5+3))+SUMPRODUCT((Vinduer!$A$5:$A$300=$A52)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2" s="19">
        <f>IF($A52="","",IF(COUNTIFS(Måned!$A$5:$A$2000,$A52,Måned!$C$5:$C$2000,MONTH(BB$5+3))=0,"",MAX(1,MIN(5,SUMIFS(Måned!$H$5:$H$2000,Måned!$A$5:$A$2000,$A52,Måned!$C$5:$C$2000,MONTH(BB$5+3))+SUMPRODUCT((Vinduer!$A$5:$A$300=$A52)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2" s="19">
        <f>IF($A52="","",IF(COUNTIFS(Måned!$A$5:$A$2000,$A52,Måned!$C$5:$C$2000,MONTH(BC$5+3))=0,"",MAX(1,MIN(5,SUMIFS(Måned!$H$5:$H$2000,Måned!$A$5:$A$2000,$A52,Måned!$C$5:$C$2000,MONTH(BC$5+3))+SUMPRODUCT((Vinduer!$A$5:$A$300=$A52)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2" s="19">
        <f>IF($A52="","",IF(COUNTIFS(Måned!$A$5:$A$2000,$A52,Måned!$C$5:$C$2000,MONTH(BD$5+3))=0,"",MAX(1,MIN(5,SUMIFS(Måned!$H$5:$H$2000,Måned!$A$5:$A$2000,$A52,Måned!$C$5:$C$2000,MONTH(BD$5+3))+SUMPRODUCT((Vinduer!$A$5:$A$300=$A52)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2" s="19">
        <f>IF($A52="","",IF(COUNTIFS(Måned!$A$5:$A$2000,$A52,Måned!$C$5:$C$2000,MONTH(BE$5+3))=0,"",MAX(1,MIN(5,SUMIFS(Måned!$H$5:$H$2000,Måned!$A$5:$A$2000,$A52,Måned!$C$5:$C$2000,MONTH(BE$5+3))+SUMPRODUCT((Vinduer!$A$5:$A$300=$A52)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3">
      <c r="A53" s="5">
        <f>IF(Destinasjoner!A49="","",Destinasjoner!A49)</f>
        <v/>
      </c>
      <c r="B53" s="5">
        <f>IF(A53="","",Destinasjoner!E49)</f>
        <v/>
      </c>
      <c r="C53" s="5">
        <f>IF(A53="","",Destinasjoner!B49)</f>
        <v/>
      </c>
      <c r="D53" s="17">
        <f>IFERROR(SUMIFS(F53:BE53,$F$7:$BE$7,"x")/COUNTIFS($F$7:$BE$7,"x",F53:BE53,"&gt;0"),"")</f>
        <v/>
      </c>
      <c r="E53" s="18">
        <f>IF(D53="","",_xlfn.MINIFS(F53:BE53,$F$7:$BE$7,"x",F53:BE53,"&gt;0"))</f>
        <v/>
      </c>
      <c r="F53" s="19">
        <f>IF($A53="","",IF(COUNTIFS(Måned!$A$5:$A$2000,$A53,Måned!$C$5:$C$2000,MONTH(F$5+3))=0,"",MAX(1,MIN(5,SUMIFS(Måned!$H$5:$H$2000,Måned!$A$5:$A$2000,$A53,Måned!$C$5:$C$2000,MONTH(F$5+3))+SUMPRODUCT((Vinduer!$A$5:$A$300=$A53)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3" s="19">
        <f>IF($A53="","",IF(COUNTIFS(Måned!$A$5:$A$2000,$A53,Måned!$C$5:$C$2000,MONTH(G$5+3))=0,"",MAX(1,MIN(5,SUMIFS(Måned!$H$5:$H$2000,Måned!$A$5:$A$2000,$A53,Måned!$C$5:$C$2000,MONTH(G$5+3))+SUMPRODUCT((Vinduer!$A$5:$A$300=$A53)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3" s="19">
        <f>IF($A53="","",IF(COUNTIFS(Måned!$A$5:$A$2000,$A53,Måned!$C$5:$C$2000,MONTH(H$5+3))=0,"",MAX(1,MIN(5,SUMIFS(Måned!$H$5:$H$2000,Måned!$A$5:$A$2000,$A53,Måned!$C$5:$C$2000,MONTH(H$5+3))+SUMPRODUCT((Vinduer!$A$5:$A$300=$A53)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3" s="19">
        <f>IF($A53="","",IF(COUNTIFS(Måned!$A$5:$A$2000,$A53,Måned!$C$5:$C$2000,MONTH(I$5+3))=0,"",MAX(1,MIN(5,SUMIFS(Måned!$H$5:$H$2000,Måned!$A$5:$A$2000,$A53,Måned!$C$5:$C$2000,MONTH(I$5+3))+SUMPRODUCT((Vinduer!$A$5:$A$300=$A53)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3" s="19">
        <f>IF($A53="","",IF(COUNTIFS(Måned!$A$5:$A$2000,$A53,Måned!$C$5:$C$2000,MONTH(J$5+3))=0,"",MAX(1,MIN(5,SUMIFS(Måned!$H$5:$H$2000,Måned!$A$5:$A$2000,$A53,Måned!$C$5:$C$2000,MONTH(J$5+3))+SUMPRODUCT((Vinduer!$A$5:$A$300=$A53)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3" s="19">
        <f>IF($A53="","",IF(COUNTIFS(Måned!$A$5:$A$2000,$A53,Måned!$C$5:$C$2000,MONTH(K$5+3))=0,"",MAX(1,MIN(5,SUMIFS(Måned!$H$5:$H$2000,Måned!$A$5:$A$2000,$A53,Måned!$C$5:$C$2000,MONTH(K$5+3))+SUMPRODUCT((Vinduer!$A$5:$A$300=$A53)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3" s="19">
        <f>IF($A53="","",IF(COUNTIFS(Måned!$A$5:$A$2000,$A53,Måned!$C$5:$C$2000,MONTH(L$5+3))=0,"",MAX(1,MIN(5,SUMIFS(Måned!$H$5:$H$2000,Måned!$A$5:$A$2000,$A53,Måned!$C$5:$C$2000,MONTH(L$5+3))+SUMPRODUCT((Vinduer!$A$5:$A$300=$A53)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3" s="19">
        <f>IF($A53="","",IF(COUNTIFS(Måned!$A$5:$A$2000,$A53,Måned!$C$5:$C$2000,MONTH(M$5+3))=0,"",MAX(1,MIN(5,SUMIFS(Måned!$H$5:$H$2000,Måned!$A$5:$A$2000,$A53,Måned!$C$5:$C$2000,MONTH(M$5+3))+SUMPRODUCT((Vinduer!$A$5:$A$300=$A53)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3" s="19">
        <f>IF($A53="","",IF(COUNTIFS(Måned!$A$5:$A$2000,$A53,Måned!$C$5:$C$2000,MONTH(N$5+3))=0,"",MAX(1,MIN(5,SUMIFS(Måned!$H$5:$H$2000,Måned!$A$5:$A$2000,$A53,Måned!$C$5:$C$2000,MONTH(N$5+3))+SUMPRODUCT((Vinduer!$A$5:$A$300=$A53)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3" s="19">
        <f>IF($A53="","",IF(COUNTIFS(Måned!$A$5:$A$2000,$A53,Måned!$C$5:$C$2000,MONTH(O$5+3))=0,"",MAX(1,MIN(5,SUMIFS(Måned!$H$5:$H$2000,Måned!$A$5:$A$2000,$A53,Måned!$C$5:$C$2000,MONTH(O$5+3))+SUMPRODUCT((Vinduer!$A$5:$A$300=$A53)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3" s="19">
        <f>IF($A53="","",IF(COUNTIFS(Måned!$A$5:$A$2000,$A53,Måned!$C$5:$C$2000,MONTH(P$5+3))=0,"",MAX(1,MIN(5,SUMIFS(Måned!$H$5:$H$2000,Måned!$A$5:$A$2000,$A53,Måned!$C$5:$C$2000,MONTH(P$5+3))+SUMPRODUCT((Vinduer!$A$5:$A$300=$A53)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3" s="19">
        <f>IF($A53="","",IF(COUNTIFS(Måned!$A$5:$A$2000,$A53,Måned!$C$5:$C$2000,MONTH(Q$5+3))=0,"",MAX(1,MIN(5,SUMIFS(Måned!$H$5:$H$2000,Måned!$A$5:$A$2000,$A53,Måned!$C$5:$C$2000,MONTH(Q$5+3))+SUMPRODUCT((Vinduer!$A$5:$A$300=$A53)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3" s="19">
        <f>IF($A53="","",IF(COUNTIFS(Måned!$A$5:$A$2000,$A53,Måned!$C$5:$C$2000,MONTH(R$5+3))=0,"",MAX(1,MIN(5,SUMIFS(Måned!$H$5:$H$2000,Måned!$A$5:$A$2000,$A53,Måned!$C$5:$C$2000,MONTH(R$5+3))+SUMPRODUCT((Vinduer!$A$5:$A$300=$A53)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3" s="19">
        <f>IF($A53="","",IF(COUNTIFS(Måned!$A$5:$A$2000,$A53,Måned!$C$5:$C$2000,MONTH(S$5+3))=0,"",MAX(1,MIN(5,SUMIFS(Måned!$H$5:$H$2000,Måned!$A$5:$A$2000,$A53,Måned!$C$5:$C$2000,MONTH(S$5+3))+SUMPRODUCT((Vinduer!$A$5:$A$300=$A53)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3" s="19">
        <f>IF($A53="","",IF(COUNTIFS(Måned!$A$5:$A$2000,$A53,Måned!$C$5:$C$2000,MONTH(T$5+3))=0,"",MAX(1,MIN(5,SUMIFS(Måned!$H$5:$H$2000,Måned!$A$5:$A$2000,$A53,Måned!$C$5:$C$2000,MONTH(T$5+3))+SUMPRODUCT((Vinduer!$A$5:$A$300=$A53)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3" s="19">
        <f>IF($A53="","",IF(COUNTIFS(Måned!$A$5:$A$2000,$A53,Måned!$C$5:$C$2000,MONTH(U$5+3))=0,"",MAX(1,MIN(5,SUMIFS(Måned!$H$5:$H$2000,Måned!$A$5:$A$2000,$A53,Måned!$C$5:$C$2000,MONTH(U$5+3))+SUMPRODUCT((Vinduer!$A$5:$A$300=$A53)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3" s="19">
        <f>IF($A53="","",IF(COUNTIFS(Måned!$A$5:$A$2000,$A53,Måned!$C$5:$C$2000,MONTH(V$5+3))=0,"",MAX(1,MIN(5,SUMIFS(Måned!$H$5:$H$2000,Måned!$A$5:$A$2000,$A53,Måned!$C$5:$C$2000,MONTH(V$5+3))+SUMPRODUCT((Vinduer!$A$5:$A$300=$A53)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3" s="19">
        <f>IF($A53="","",IF(COUNTIFS(Måned!$A$5:$A$2000,$A53,Måned!$C$5:$C$2000,MONTH(W$5+3))=0,"",MAX(1,MIN(5,SUMIFS(Måned!$H$5:$H$2000,Måned!$A$5:$A$2000,$A53,Måned!$C$5:$C$2000,MONTH(W$5+3))+SUMPRODUCT((Vinduer!$A$5:$A$300=$A53)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3" s="19">
        <f>IF($A53="","",IF(COUNTIFS(Måned!$A$5:$A$2000,$A53,Måned!$C$5:$C$2000,MONTH(X$5+3))=0,"",MAX(1,MIN(5,SUMIFS(Måned!$H$5:$H$2000,Måned!$A$5:$A$2000,$A53,Måned!$C$5:$C$2000,MONTH(X$5+3))+SUMPRODUCT((Vinduer!$A$5:$A$300=$A53)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3" s="19">
        <f>IF($A53="","",IF(COUNTIFS(Måned!$A$5:$A$2000,$A53,Måned!$C$5:$C$2000,MONTH(Y$5+3))=0,"",MAX(1,MIN(5,SUMIFS(Måned!$H$5:$H$2000,Måned!$A$5:$A$2000,$A53,Måned!$C$5:$C$2000,MONTH(Y$5+3))+SUMPRODUCT((Vinduer!$A$5:$A$300=$A53)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3" s="19">
        <f>IF($A53="","",IF(COUNTIFS(Måned!$A$5:$A$2000,$A53,Måned!$C$5:$C$2000,MONTH(Z$5+3))=0,"",MAX(1,MIN(5,SUMIFS(Måned!$H$5:$H$2000,Måned!$A$5:$A$2000,$A53,Måned!$C$5:$C$2000,MONTH(Z$5+3))+SUMPRODUCT((Vinduer!$A$5:$A$300=$A53)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3" s="19">
        <f>IF($A53="","",IF(COUNTIFS(Måned!$A$5:$A$2000,$A53,Måned!$C$5:$C$2000,MONTH(AA$5+3))=0,"",MAX(1,MIN(5,SUMIFS(Måned!$H$5:$H$2000,Måned!$A$5:$A$2000,$A53,Måned!$C$5:$C$2000,MONTH(AA$5+3))+SUMPRODUCT((Vinduer!$A$5:$A$300=$A53)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3" s="19">
        <f>IF($A53="","",IF(COUNTIFS(Måned!$A$5:$A$2000,$A53,Måned!$C$5:$C$2000,MONTH(AB$5+3))=0,"",MAX(1,MIN(5,SUMIFS(Måned!$H$5:$H$2000,Måned!$A$5:$A$2000,$A53,Måned!$C$5:$C$2000,MONTH(AB$5+3))+SUMPRODUCT((Vinduer!$A$5:$A$300=$A53)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3" s="19">
        <f>IF($A53="","",IF(COUNTIFS(Måned!$A$5:$A$2000,$A53,Måned!$C$5:$C$2000,MONTH(AC$5+3))=0,"",MAX(1,MIN(5,SUMIFS(Måned!$H$5:$H$2000,Måned!$A$5:$A$2000,$A53,Måned!$C$5:$C$2000,MONTH(AC$5+3))+SUMPRODUCT((Vinduer!$A$5:$A$300=$A53)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3" s="19">
        <f>IF($A53="","",IF(COUNTIFS(Måned!$A$5:$A$2000,$A53,Måned!$C$5:$C$2000,MONTH(AD$5+3))=0,"",MAX(1,MIN(5,SUMIFS(Måned!$H$5:$H$2000,Måned!$A$5:$A$2000,$A53,Måned!$C$5:$C$2000,MONTH(AD$5+3))+SUMPRODUCT((Vinduer!$A$5:$A$300=$A53)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3" s="19">
        <f>IF($A53="","",IF(COUNTIFS(Måned!$A$5:$A$2000,$A53,Måned!$C$5:$C$2000,MONTH(AE$5+3))=0,"",MAX(1,MIN(5,SUMIFS(Måned!$H$5:$H$2000,Måned!$A$5:$A$2000,$A53,Måned!$C$5:$C$2000,MONTH(AE$5+3))+SUMPRODUCT((Vinduer!$A$5:$A$300=$A53)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3" s="19">
        <f>IF($A53="","",IF(COUNTIFS(Måned!$A$5:$A$2000,$A53,Måned!$C$5:$C$2000,MONTH(AF$5+3))=0,"",MAX(1,MIN(5,SUMIFS(Måned!$H$5:$H$2000,Måned!$A$5:$A$2000,$A53,Måned!$C$5:$C$2000,MONTH(AF$5+3))+SUMPRODUCT((Vinduer!$A$5:$A$300=$A53)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3" s="19">
        <f>IF($A53="","",IF(COUNTIFS(Måned!$A$5:$A$2000,$A53,Måned!$C$5:$C$2000,MONTH(AG$5+3))=0,"",MAX(1,MIN(5,SUMIFS(Måned!$H$5:$H$2000,Måned!$A$5:$A$2000,$A53,Måned!$C$5:$C$2000,MONTH(AG$5+3))+SUMPRODUCT((Vinduer!$A$5:$A$300=$A53)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3" s="19">
        <f>IF($A53="","",IF(COUNTIFS(Måned!$A$5:$A$2000,$A53,Måned!$C$5:$C$2000,MONTH(AH$5+3))=0,"",MAX(1,MIN(5,SUMIFS(Måned!$H$5:$H$2000,Måned!$A$5:$A$2000,$A53,Måned!$C$5:$C$2000,MONTH(AH$5+3))+SUMPRODUCT((Vinduer!$A$5:$A$300=$A53)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3" s="19">
        <f>IF($A53="","",IF(COUNTIFS(Måned!$A$5:$A$2000,$A53,Måned!$C$5:$C$2000,MONTH(AI$5+3))=0,"",MAX(1,MIN(5,SUMIFS(Måned!$H$5:$H$2000,Måned!$A$5:$A$2000,$A53,Måned!$C$5:$C$2000,MONTH(AI$5+3))+SUMPRODUCT((Vinduer!$A$5:$A$300=$A53)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3" s="19">
        <f>IF($A53="","",IF(COUNTIFS(Måned!$A$5:$A$2000,$A53,Måned!$C$5:$C$2000,MONTH(AJ$5+3))=0,"",MAX(1,MIN(5,SUMIFS(Måned!$H$5:$H$2000,Måned!$A$5:$A$2000,$A53,Måned!$C$5:$C$2000,MONTH(AJ$5+3))+SUMPRODUCT((Vinduer!$A$5:$A$300=$A53)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3" s="19">
        <f>IF($A53="","",IF(COUNTIFS(Måned!$A$5:$A$2000,$A53,Måned!$C$5:$C$2000,MONTH(AK$5+3))=0,"",MAX(1,MIN(5,SUMIFS(Måned!$H$5:$H$2000,Måned!$A$5:$A$2000,$A53,Måned!$C$5:$C$2000,MONTH(AK$5+3))+SUMPRODUCT((Vinduer!$A$5:$A$300=$A53)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3" s="19">
        <f>IF($A53="","",IF(COUNTIFS(Måned!$A$5:$A$2000,$A53,Måned!$C$5:$C$2000,MONTH(AL$5+3))=0,"",MAX(1,MIN(5,SUMIFS(Måned!$H$5:$H$2000,Måned!$A$5:$A$2000,$A53,Måned!$C$5:$C$2000,MONTH(AL$5+3))+SUMPRODUCT((Vinduer!$A$5:$A$300=$A53)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3" s="19">
        <f>IF($A53="","",IF(COUNTIFS(Måned!$A$5:$A$2000,$A53,Måned!$C$5:$C$2000,MONTH(AM$5+3))=0,"",MAX(1,MIN(5,SUMIFS(Måned!$H$5:$H$2000,Måned!$A$5:$A$2000,$A53,Måned!$C$5:$C$2000,MONTH(AM$5+3))+SUMPRODUCT((Vinduer!$A$5:$A$300=$A53)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3" s="19">
        <f>IF($A53="","",IF(COUNTIFS(Måned!$A$5:$A$2000,$A53,Måned!$C$5:$C$2000,MONTH(AN$5+3))=0,"",MAX(1,MIN(5,SUMIFS(Måned!$H$5:$H$2000,Måned!$A$5:$A$2000,$A53,Måned!$C$5:$C$2000,MONTH(AN$5+3))+SUMPRODUCT((Vinduer!$A$5:$A$300=$A53)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3" s="19">
        <f>IF($A53="","",IF(COUNTIFS(Måned!$A$5:$A$2000,$A53,Måned!$C$5:$C$2000,MONTH(AO$5+3))=0,"",MAX(1,MIN(5,SUMIFS(Måned!$H$5:$H$2000,Måned!$A$5:$A$2000,$A53,Måned!$C$5:$C$2000,MONTH(AO$5+3))+SUMPRODUCT((Vinduer!$A$5:$A$300=$A53)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3" s="19">
        <f>IF($A53="","",IF(COUNTIFS(Måned!$A$5:$A$2000,$A53,Måned!$C$5:$C$2000,MONTH(AP$5+3))=0,"",MAX(1,MIN(5,SUMIFS(Måned!$H$5:$H$2000,Måned!$A$5:$A$2000,$A53,Måned!$C$5:$C$2000,MONTH(AP$5+3))+SUMPRODUCT((Vinduer!$A$5:$A$300=$A53)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3" s="19">
        <f>IF($A53="","",IF(COUNTIFS(Måned!$A$5:$A$2000,$A53,Måned!$C$5:$C$2000,MONTH(AQ$5+3))=0,"",MAX(1,MIN(5,SUMIFS(Måned!$H$5:$H$2000,Måned!$A$5:$A$2000,$A53,Måned!$C$5:$C$2000,MONTH(AQ$5+3))+SUMPRODUCT((Vinduer!$A$5:$A$300=$A53)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3" s="19">
        <f>IF($A53="","",IF(COUNTIFS(Måned!$A$5:$A$2000,$A53,Måned!$C$5:$C$2000,MONTH(AR$5+3))=0,"",MAX(1,MIN(5,SUMIFS(Måned!$H$5:$H$2000,Måned!$A$5:$A$2000,$A53,Måned!$C$5:$C$2000,MONTH(AR$5+3))+SUMPRODUCT((Vinduer!$A$5:$A$300=$A53)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3" s="19">
        <f>IF($A53="","",IF(COUNTIFS(Måned!$A$5:$A$2000,$A53,Måned!$C$5:$C$2000,MONTH(AS$5+3))=0,"",MAX(1,MIN(5,SUMIFS(Måned!$H$5:$H$2000,Måned!$A$5:$A$2000,$A53,Måned!$C$5:$C$2000,MONTH(AS$5+3))+SUMPRODUCT((Vinduer!$A$5:$A$300=$A53)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3" s="19">
        <f>IF($A53="","",IF(COUNTIFS(Måned!$A$5:$A$2000,$A53,Måned!$C$5:$C$2000,MONTH(AT$5+3))=0,"",MAX(1,MIN(5,SUMIFS(Måned!$H$5:$H$2000,Måned!$A$5:$A$2000,$A53,Måned!$C$5:$C$2000,MONTH(AT$5+3))+SUMPRODUCT((Vinduer!$A$5:$A$300=$A53)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3" s="19">
        <f>IF($A53="","",IF(COUNTIFS(Måned!$A$5:$A$2000,$A53,Måned!$C$5:$C$2000,MONTH(AU$5+3))=0,"",MAX(1,MIN(5,SUMIFS(Måned!$H$5:$H$2000,Måned!$A$5:$A$2000,$A53,Måned!$C$5:$C$2000,MONTH(AU$5+3))+SUMPRODUCT((Vinduer!$A$5:$A$300=$A53)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3" s="19">
        <f>IF($A53="","",IF(COUNTIFS(Måned!$A$5:$A$2000,$A53,Måned!$C$5:$C$2000,MONTH(AV$5+3))=0,"",MAX(1,MIN(5,SUMIFS(Måned!$H$5:$H$2000,Måned!$A$5:$A$2000,$A53,Måned!$C$5:$C$2000,MONTH(AV$5+3))+SUMPRODUCT((Vinduer!$A$5:$A$300=$A53)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3" s="19">
        <f>IF($A53="","",IF(COUNTIFS(Måned!$A$5:$A$2000,$A53,Måned!$C$5:$C$2000,MONTH(AW$5+3))=0,"",MAX(1,MIN(5,SUMIFS(Måned!$H$5:$H$2000,Måned!$A$5:$A$2000,$A53,Måned!$C$5:$C$2000,MONTH(AW$5+3))+SUMPRODUCT((Vinduer!$A$5:$A$300=$A53)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3" s="19">
        <f>IF($A53="","",IF(COUNTIFS(Måned!$A$5:$A$2000,$A53,Måned!$C$5:$C$2000,MONTH(AX$5+3))=0,"",MAX(1,MIN(5,SUMIFS(Måned!$H$5:$H$2000,Måned!$A$5:$A$2000,$A53,Måned!$C$5:$C$2000,MONTH(AX$5+3))+SUMPRODUCT((Vinduer!$A$5:$A$300=$A53)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3" s="19">
        <f>IF($A53="","",IF(COUNTIFS(Måned!$A$5:$A$2000,$A53,Måned!$C$5:$C$2000,MONTH(AY$5+3))=0,"",MAX(1,MIN(5,SUMIFS(Måned!$H$5:$H$2000,Måned!$A$5:$A$2000,$A53,Måned!$C$5:$C$2000,MONTH(AY$5+3))+SUMPRODUCT((Vinduer!$A$5:$A$300=$A53)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3" s="19">
        <f>IF($A53="","",IF(COUNTIFS(Måned!$A$5:$A$2000,$A53,Måned!$C$5:$C$2000,MONTH(AZ$5+3))=0,"",MAX(1,MIN(5,SUMIFS(Måned!$H$5:$H$2000,Måned!$A$5:$A$2000,$A53,Måned!$C$5:$C$2000,MONTH(AZ$5+3))+SUMPRODUCT((Vinduer!$A$5:$A$300=$A53)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3" s="19">
        <f>IF($A53="","",IF(COUNTIFS(Måned!$A$5:$A$2000,$A53,Måned!$C$5:$C$2000,MONTH(BA$5+3))=0,"",MAX(1,MIN(5,SUMIFS(Måned!$H$5:$H$2000,Måned!$A$5:$A$2000,$A53,Måned!$C$5:$C$2000,MONTH(BA$5+3))+SUMPRODUCT((Vinduer!$A$5:$A$300=$A53)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3" s="19">
        <f>IF($A53="","",IF(COUNTIFS(Måned!$A$5:$A$2000,$A53,Måned!$C$5:$C$2000,MONTH(BB$5+3))=0,"",MAX(1,MIN(5,SUMIFS(Måned!$H$5:$H$2000,Måned!$A$5:$A$2000,$A53,Måned!$C$5:$C$2000,MONTH(BB$5+3))+SUMPRODUCT((Vinduer!$A$5:$A$300=$A53)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3" s="19">
        <f>IF($A53="","",IF(COUNTIFS(Måned!$A$5:$A$2000,$A53,Måned!$C$5:$C$2000,MONTH(BC$5+3))=0,"",MAX(1,MIN(5,SUMIFS(Måned!$H$5:$H$2000,Måned!$A$5:$A$2000,$A53,Måned!$C$5:$C$2000,MONTH(BC$5+3))+SUMPRODUCT((Vinduer!$A$5:$A$300=$A53)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3" s="19">
        <f>IF($A53="","",IF(COUNTIFS(Måned!$A$5:$A$2000,$A53,Måned!$C$5:$C$2000,MONTH(BD$5+3))=0,"",MAX(1,MIN(5,SUMIFS(Måned!$H$5:$H$2000,Måned!$A$5:$A$2000,$A53,Måned!$C$5:$C$2000,MONTH(BD$5+3))+SUMPRODUCT((Vinduer!$A$5:$A$300=$A53)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3" s="19">
        <f>IF($A53="","",IF(COUNTIFS(Måned!$A$5:$A$2000,$A53,Måned!$C$5:$C$2000,MONTH(BE$5+3))=0,"",MAX(1,MIN(5,SUMIFS(Måned!$H$5:$H$2000,Måned!$A$5:$A$2000,$A53,Måned!$C$5:$C$2000,MONTH(BE$5+3))+SUMPRODUCT((Vinduer!$A$5:$A$300=$A53)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4">
      <c r="A54" s="5">
        <f>IF(Destinasjoner!A50="","",Destinasjoner!A50)</f>
        <v/>
      </c>
      <c r="B54" s="5">
        <f>IF(A54="","",Destinasjoner!E50)</f>
        <v/>
      </c>
      <c r="C54" s="5">
        <f>IF(A54="","",Destinasjoner!B50)</f>
        <v/>
      </c>
      <c r="D54" s="17">
        <f>IFERROR(SUMIFS(F54:BE54,$F$7:$BE$7,"x")/COUNTIFS($F$7:$BE$7,"x",F54:BE54,"&gt;0"),"")</f>
        <v/>
      </c>
      <c r="E54" s="18">
        <f>IF(D54="","",_xlfn.MINIFS(F54:BE54,$F$7:$BE$7,"x",F54:BE54,"&gt;0"))</f>
        <v/>
      </c>
      <c r="F54" s="19">
        <f>IF($A54="","",IF(COUNTIFS(Måned!$A$5:$A$2000,$A54,Måned!$C$5:$C$2000,MONTH(F$5+3))=0,"",MAX(1,MIN(5,SUMIFS(Måned!$H$5:$H$2000,Måned!$A$5:$A$2000,$A54,Måned!$C$5:$C$2000,MONTH(F$5+3))+SUMPRODUCT((Vinduer!$A$5:$A$300=$A54)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4" s="19">
        <f>IF($A54="","",IF(COUNTIFS(Måned!$A$5:$A$2000,$A54,Måned!$C$5:$C$2000,MONTH(G$5+3))=0,"",MAX(1,MIN(5,SUMIFS(Måned!$H$5:$H$2000,Måned!$A$5:$A$2000,$A54,Måned!$C$5:$C$2000,MONTH(G$5+3))+SUMPRODUCT((Vinduer!$A$5:$A$300=$A54)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4" s="19">
        <f>IF($A54="","",IF(COUNTIFS(Måned!$A$5:$A$2000,$A54,Måned!$C$5:$C$2000,MONTH(H$5+3))=0,"",MAX(1,MIN(5,SUMIFS(Måned!$H$5:$H$2000,Måned!$A$5:$A$2000,$A54,Måned!$C$5:$C$2000,MONTH(H$5+3))+SUMPRODUCT((Vinduer!$A$5:$A$300=$A54)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4" s="19">
        <f>IF($A54="","",IF(COUNTIFS(Måned!$A$5:$A$2000,$A54,Måned!$C$5:$C$2000,MONTH(I$5+3))=0,"",MAX(1,MIN(5,SUMIFS(Måned!$H$5:$H$2000,Måned!$A$5:$A$2000,$A54,Måned!$C$5:$C$2000,MONTH(I$5+3))+SUMPRODUCT((Vinduer!$A$5:$A$300=$A54)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4" s="19">
        <f>IF($A54="","",IF(COUNTIFS(Måned!$A$5:$A$2000,$A54,Måned!$C$5:$C$2000,MONTH(J$5+3))=0,"",MAX(1,MIN(5,SUMIFS(Måned!$H$5:$H$2000,Måned!$A$5:$A$2000,$A54,Måned!$C$5:$C$2000,MONTH(J$5+3))+SUMPRODUCT((Vinduer!$A$5:$A$300=$A54)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4" s="19">
        <f>IF($A54="","",IF(COUNTIFS(Måned!$A$5:$A$2000,$A54,Måned!$C$5:$C$2000,MONTH(K$5+3))=0,"",MAX(1,MIN(5,SUMIFS(Måned!$H$5:$H$2000,Måned!$A$5:$A$2000,$A54,Måned!$C$5:$C$2000,MONTH(K$5+3))+SUMPRODUCT((Vinduer!$A$5:$A$300=$A54)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4" s="19">
        <f>IF($A54="","",IF(COUNTIFS(Måned!$A$5:$A$2000,$A54,Måned!$C$5:$C$2000,MONTH(L$5+3))=0,"",MAX(1,MIN(5,SUMIFS(Måned!$H$5:$H$2000,Måned!$A$5:$A$2000,$A54,Måned!$C$5:$C$2000,MONTH(L$5+3))+SUMPRODUCT((Vinduer!$A$5:$A$300=$A54)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4" s="19">
        <f>IF($A54="","",IF(COUNTIFS(Måned!$A$5:$A$2000,$A54,Måned!$C$5:$C$2000,MONTH(M$5+3))=0,"",MAX(1,MIN(5,SUMIFS(Måned!$H$5:$H$2000,Måned!$A$5:$A$2000,$A54,Måned!$C$5:$C$2000,MONTH(M$5+3))+SUMPRODUCT((Vinduer!$A$5:$A$300=$A54)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4" s="19">
        <f>IF($A54="","",IF(COUNTIFS(Måned!$A$5:$A$2000,$A54,Måned!$C$5:$C$2000,MONTH(N$5+3))=0,"",MAX(1,MIN(5,SUMIFS(Måned!$H$5:$H$2000,Måned!$A$5:$A$2000,$A54,Måned!$C$5:$C$2000,MONTH(N$5+3))+SUMPRODUCT((Vinduer!$A$5:$A$300=$A54)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4" s="19">
        <f>IF($A54="","",IF(COUNTIFS(Måned!$A$5:$A$2000,$A54,Måned!$C$5:$C$2000,MONTH(O$5+3))=0,"",MAX(1,MIN(5,SUMIFS(Måned!$H$5:$H$2000,Måned!$A$5:$A$2000,$A54,Måned!$C$5:$C$2000,MONTH(O$5+3))+SUMPRODUCT((Vinduer!$A$5:$A$300=$A54)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4" s="19">
        <f>IF($A54="","",IF(COUNTIFS(Måned!$A$5:$A$2000,$A54,Måned!$C$5:$C$2000,MONTH(P$5+3))=0,"",MAX(1,MIN(5,SUMIFS(Måned!$H$5:$H$2000,Måned!$A$5:$A$2000,$A54,Måned!$C$5:$C$2000,MONTH(P$5+3))+SUMPRODUCT((Vinduer!$A$5:$A$300=$A54)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4" s="19">
        <f>IF($A54="","",IF(COUNTIFS(Måned!$A$5:$A$2000,$A54,Måned!$C$5:$C$2000,MONTH(Q$5+3))=0,"",MAX(1,MIN(5,SUMIFS(Måned!$H$5:$H$2000,Måned!$A$5:$A$2000,$A54,Måned!$C$5:$C$2000,MONTH(Q$5+3))+SUMPRODUCT((Vinduer!$A$5:$A$300=$A54)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4" s="19">
        <f>IF($A54="","",IF(COUNTIFS(Måned!$A$5:$A$2000,$A54,Måned!$C$5:$C$2000,MONTH(R$5+3))=0,"",MAX(1,MIN(5,SUMIFS(Måned!$H$5:$H$2000,Måned!$A$5:$A$2000,$A54,Måned!$C$5:$C$2000,MONTH(R$5+3))+SUMPRODUCT((Vinduer!$A$5:$A$300=$A54)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4" s="19">
        <f>IF($A54="","",IF(COUNTIFS(Måned!$A$5:$A$2000,$A54,Måned!$C$5:$C$2000,MONTH(S$5+3))=0,"",MAX(1,MIN(5,SUMIFS(Måned!$H$5:$H$2000,Måned!$A$5:$A$2000,$A54,Måned!$C$5:$C$2000,MONTH(S$5+3))+SUMPRODUCT((Vinduer!$A$5:$A$300=$A54)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4" s="19">
        <f>IF($A54="","",IF(COUNTIFS(Måned!$A$5:$A$2000,$A54,Måned!$C$5:$C$2000,MONTH(T$5+3))=0,"",MAX(1,MIN(5,SUMIFS(Måned!$H$5:$H$2000,Måned!$A$5:$A$2000,$A54,Måned!$C$5:$C$2000,MONTH(T$5+3))+SUMPRODUCT((Vinduer!$A$5:$A$300=$A54)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4" s="19">
        <f>IF($A54="","",IF(COUNTIFS(Måned!$A$5:$A$2000,$A54,Måned!$C$5:$C$2000,MONTH(U$5+3))=0,"",MAX(1,MIN(5,SUMIFS(Måned!$H$5:$H$2000,Måned!$A$5:$A$2000,$A54,Måned!$C$5:$C$2000,MONTH(U$5+3))+SUMPRODUCT((Vinduer!$A$5:$A$300=$A54)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4" s="19">
        <f>IF($A54="","",IF(COUNTIFS(Måned!$A$5:$A$2000,$A54,Måned!$C$5:$C$2000,MONTH(V$5+3))=0,"",MAX(1,MIN(5,SUMIFS(Måned!$H$5:$H$2000,Måned!$A$5:$A$2000,$A54,Måned!$C$5:$C$2000,MONTH(V$5+3))+SUMPRODUCT((Vinduer!$A$5:$A$300=$A54)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4" s="19">
        <f>IF($A54="","",IF(COUNTIFS(Måned!$A$5:$A$2000,$A54,Måned!$C$5:$C$2000,MONTH(W$5+3))=0,"",MAX(1,MIN(5,SUMIFS(Måned!$H$5:$H$2000,Måned!$A$5:$A$2000,$A54,Måned!$C$5:$C$2000,MONTH(W$5+3))+SUMPRODUCT((Vinduer!$A$5:$A$300=$A54)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4" s="19">
        <f>IF($A54="","",IF(COUNTIFS(Måned!$A$5:$A$2000,$A54,Måned!$C$5:$C$2000,MONTH(X$5+3))=0,"",MAX(1,MIN(5,SUMIFS(Måned!$H$5:$H$2000,Måned!$A$5:$A$2000,$A54,Måned!$C$5:$C$2000,MONTH(X$5+3))+SUMPRODUCT((Vinduer!$A$5:$A$300=$A54)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4" s="19">
        <f>IF($A54="","",IF(COUNTIFS(Måned!$A$5:$A$2000,$A54,Måned!$C$5:$C$2000,MONTH(Y$5+3))=0,"",MAX(1,MIN(5,SUMIFS(Måned!$H$5:$H$2000,Måned!$A$5:$A$2000,$A54,Måned!$C$5:$C$2000,MONTH(Y$5+3))+SUMPRODUCT((Vinduer!$A$5:$A$300=$A54)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4" s="19">
        <f>IF($A54="","",IF(COUNTIFS(Måned!$A$5:$A$2000,$A54,Måned!$C$5:$C$2000,MONTH(Z$5+3))=0,"",MAX(1,MIN(5,SUMIFS(Måned!$H$5:$H$2000,Måned!$A$5:$A$2000,$A54,Måned!$C$5:$C$2000,MONTH(Z$5+3))+SUMPRODUCT((Vinduer!$A$5:$A$300=$A54)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4" s="19">
        <f>IF($A54="","",IF(COUNTIFS(Måned!$A$5:$A$2000,$A54,Måned!$C$5:$C$2000,MONTH(AA$5+3))=0,"",MAX(1,MIN(5,SUMIFS(Måned!$H$5:$H$2000,Måned!$A$5:$A$2000,$A54,Måned!$C$5:$C$2000,MONTH(AA$5+3))+SUMPRODUCT((Vinduer!$A$5:$A$300=$A54)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4" s="19">
        <f>IF($A54="","",IF(COUNTIFS(Måned!$A$5:$A$2000,$A54,Måned!$C$5:$C$2000,MONTH(AB$5+3))=0,"",MAX(1,MIN(5,SUMIFS(Måned!$H$5:$H$2000,Måned!$A$5:$A$2000,$A54,Måned!$C$5:$C$2000,MONTH(AB$5+3))+SUMPRODUCT((Vinduer!$A$5:$A$300=$A54)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4" s="19">
        <f>IF($A54="","",IF(COUNTIFS(Måned!$A$5:$A$2000,$A54,Måned!$C$5:$C$2000,MONTH(AC$5+3))=0,"",MAX(1,MIN(5,SUMIFS(Måned!$H$5:$H$2000,Måned!$A$5:$A$2000,$A54,Måned!$C$5:$C$2000,MONTH(AC$5+3))+SUMPRODUCT((Vinduer!$A$5:$A$300=$A54)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4" s="19">
        <f>IF($A54="","",IF(COUNTIFS(Måned!$A$5:$A$2000,$A54,Måned!$C$5:$C$2000,MONTH(AD$5+3))=0,"",MAX(1,MIN(5,SUMIFS(Måned!$H$5:$H$2000,Måned!$A$5:$A$2000,$A54,Måned!$C$5:$C$2000,MONTH(AD$5+3))+SUMPRODUCT((Vinduer!$A$5:$A$300=$A54)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4" s="19">
        <f>IF($A54="","",IF(COUNTIFS(Måned!$A$5:$A$2000,$A54,Måned!$C$5:$C$2000,MONTH(AE$5+3))=0,"",MAX(1,MIN(5,SUMIFS(Måned!$H$5:$H$2000,Måned!$A$5:$A$2000,$A54,Måned!$C$5:$C$2000,MONTH(AE$5+3))+SUMPRODUCT((Vinduer!$A$5:$A$300=$A54)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4" s="19">
        <f>IF($A54="","",IF(COUNTIFS(Måned!$A$5:$A$2000,$A54,Måned!$C$5:$C$2000,MONTH(AF$5+3))=0,"",MAX(1,MIN(5,SUMIFS(Måned!$H$5:$H$2000,Måned!$A$5:$A$2000,$A54,Måned!$C$5:$C$2000,MONTH(AF$5+3))+SUMPRODUCT((Vinduer!$A$5:$A$300=$A54)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4" s="19">
        <f>IF($A54="","",IF(COUNTIFS(Måned!$A$5:$A$2000,$A54,Måned!$C$5:$C$2000,MONTH(AG$5+3))=0,"",MAX(1,MIN(5,SUMIFS(Måned!$H$5:$H$2000,Måned!$A$5:$A$2000,$A54,Måned!$C$5:$C$2000,MONTH(AG$5+3))+SUMPRODUCT((Vinduer!$A$5:$A$300=$A54)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4" s="19">
        <f>IF($A54="","",IF(COUNTIFS(Måned!$A$5:$A$2000,$A54,Måned!$C$5:$C$2000,MONTH(AH$5+3))=0,"",MAX(1,MIN(5,SUMIFS(Måned!$H$5:$H$2000,Måned!$A$5:$A$2000,$A54,Måned!$C$5:$C$2000,MONTH(AH$5+3))+SUMPRODUCT((Vinduer!$A$5:$A$300=$A54)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4" s="19">
        <f>IF($A54="","",IF(COUNTIFS(Måned!$A$5:$A$2000,$A54,Måned!$C$5:$C$2000,MONTH(AI$5+3))=0,"",MAX(1,MIN(5,SUMIFS(Måned!$H$5:$H$2000,Måned!$A$5:$A$2000,$A54,Måned!$C$5:$C$2000,MONTH(AI$5+3))+SUMPRODUCT((Vinduer!$A$5:$A$300=$A54)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4" s="19">
        <f>IF($A54="","",IF(COUNTIFS(Måned!$A$5:$A$2000,$A54,Måned!$C$5:$C$2000,MONTH(AJ$5+3))=0,"",MAX(1,MIN(5,SUMIFS(Måned!$H$5:$H$2000,Måned!$A$5:$A$2000,$A54,Måned!$C$5:$C$2000,MONTH(AJ$5+3))+SUMPRODUCT((Vinduer!$A$5:$A$300=$A54)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4" s="19">
        <f>IF($A54="","",IF(COUNTIFS(Måned!$A$5:$A$2000,$A54,Måned!$C$5:$C$2000,MONTH(AK$5+3))=0,"",MAX(1,MIN(5,SUMIFS(Måned!$H$5:$H$2000,Måned!$A$5:$A$2000,$A54,Måned!$C$5:$C$2000,MONTH(AK$5+3))+SUMPRODUCT((Vinduer!$A$5:$A$300=$A54)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4" s="19">
        <f>IF($A54="","",IF(COUNTIFS(Måned!$A$5:$A$2000,$A54,Måned!$C$5:$C$2000,MONTH(AL$5+3))=0,"",MAX(1,MIN(5,SUMIFS(Måned!$H$5:$H$2000,Måned!$A$5:$A$2000,$A54,Måned!$C$5:$C$2000,MONTH(AL$5+3))+SUMPRODUCT((Vinduer!$A$5:$A$300=$A54)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4" s="19">
        <f>IF($A54="","",IF(COUNTIFS(Måned!$A$5:$A$2000,$A54,Måned!$C$5:$C$2000,MONTH(AM$5+3))=0,"",MAX(1,MIN(5,SUMIFS(Måned!$H$5:$H$2000,Måned!$A$5:$A$2000,$A54,Måned!$C$5:$C$2000,MONTH(AM$5+3))+SUMPRODUCT((Vinduer!$A$5:$A$300=$A54)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4" s="19">
        <f>IF($A54="","",IF(COUNTIFS(Måned!$A$5:$A$2000,$A54,Måned!$C$5:$C$2000,MONTH(AN$5+3))=0,"",MAX(1,MIN(5,SUMIFS(Måned!$H$5:$H$2000,Måned!$A$5:$A$2000,$A54,Måned!$C$5:$C$2000,MONTH(AN$5+3))+SUMPRODUCT((Vinduer!$A$5:$A$300=$A54)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4" s="19">
        <f>IF($A54="","",IF(COUNTIFS(Måned!$A$5:$A$2000,$A54,Måned!$C$5:$C$2000,MONTH(AO$5+3))=0,"",MAX(1,MIN(5,SUMIFS(Måned!$H$5:$H$2000,Måned!$A$5:$A$2000,$A54,Måned!$C$5:$C$2000,MONTH(AO$5+3))+SUMPRODUCT((Vinduer!$A$5:$A$300=$A54)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4" s="19">
        <f>IF($A54="","",IF(COUNTIFS(Måned!$A$5:$A$2000,$A54,Måned!$C$5:$C$2000,MONTH(AP$5+3))=0,"",MAX(1,MIN(5,SUMIFS(Måned!$H$5:$H$2000,Måned!$A$5:$A$2000,$A54,Måned!$C$5:$C$2000,MONTH(AP$5+3))+SUMPRODUCT((Vinduer!$A$5:$A$300=$A54)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4" s="19">
        <f>IF($A54="","",IF(COUNTIFS(Måned!$A$5:$A$2000,$A54,Måned!$C$5:$C$2000,MONTH(AQ$5+3))=0,"",MAX(1,MIN(5,SUMIFS(Måned!$H$5:$H$2000,Måned!$A$5:$A$2000,$A54,Måned!$C$5:$C$2000,MONTH(AQ$5+3))+SUMPRODUCT((Vinduer!$A$5:$A$300=$A54)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4" s="19">
        <f>IF($A54="","",IF(COUNTIFS(Måned!$A$5:$A$2000,$A54,Måned!$C$5:$C$2000,MONTH(AR$5+3))=0,"",MAX(1,MIN(5,SUMIFS(Måned!$H$5:$H$2000,Måned!$A$5:$A$2000,$A54,Måned!$C$5:$C$2000,MONTH(AR$5+3))+SUMPRODUCT((Vinduer!$A$5:$A$300=$A54)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4" s="19">
        <f>IF($A54="","",IF(COUNTIFS(Måned!$A$5:$A$2000,$A54,Måned!$C$5:$C$2000,MONTH(AS$5+3))=0,"",MAX(1,MIN(5,SUMIFS(Måned!$H$5:$H$2000,Måned!$A$5:$A$2000,$A54,Måned!$C$5:$C$2000,MONTH(AS$5+3))+SUMPRODUCT((Vinduer!$A$5:$A$300=$A54)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4" s="19">
        <f>IF($A54="","",IF(COUNTIFS(Måned!$A$5:$A$2000,$A54,Måned!$C$5:$C$2000,MONTH(AT$5+3))=0,"",MAX(1,MIN(5,SUMIFS(Måned!$H$5:$H$2000,Måned!$A$5:$A$2000,$A54,Måned!$C$5:$C$2000,MONTH(AT$5+3))+SUMPRODUCT((Vinduer!$A$5:$A$300=$A54)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4" s="19">
        <f>IF($A54="","",IF(COUNTIFS(Måned!$A$5:$A$2000,$A54,Måned!$C$5:$C$2000,MONTH(AU$5+3))=0,"",MAX(1,MIN(5,SUMIFS(Måned!$H$5:$H$2000,Måned!$A$5:$A$2000,$A54,Måned!$C$5:$C$2000,MONTH(AU$5+3))+SUMPRODUCT((Vinduer!$A$5:$A$300=$A54)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4" s="19">
        <f>IF($A54="","",IF(COUNTIFS(Måned!$A$5:$A$2000,$A54,Måned!$C$5:$C$2000,MONTH(AV$5+3))=0,"",MAX(1,MIN(5,SUMIFS(Måned!$H$5:$H$2000,Måned!$A$5:$A$2000,$A54,Måned!$C$5:$C$2000,MONTH(AV$5+3))+SUMPRODUCT((Vinduer!$A$5:$A$300=$A54)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4" s="19">
        <f>IF($A54="","",IF(COUNTIFS(Måned!$A$5:$A$2000,$A54,Måned!$C$5:$C$2000,MONTH(AW$5+3))=0,"",MAX(1,MIN(5,SUMIFS(Måned!$H$5:$H$2000,Måned!$A$5:$A$2000,$A54,Måned!$C$5:$C$2000,MONTH(AW$5+3))+SUMPRODUCT((Vinduer!$A$5:$A$300=$A54)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4" s="19">
        <f>IF($A54="","",IF(COUNTIFS(Måned!$A$5:$A$2000,$A54,Måned!$C$5:$C$2000,MONTH(AX$5+3))=0,"",MAX(1,MIN(5,SUMIFS(Måned!$H$5:$H$2000,Måned!$A$5:$A$2000,$A54,Måned!$C$5:$C$2000,MONTH(AX$5+3))+SUMPRODUCT((Vinduer!$A$5:$A$300=$A54)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4" s="19">
        <f>IF($A54="","",IF(COUNTIFS(Måned!$A$5:$A$2000,$A54,Måned!$C$5:$C$2000,MONTH(AY$5+3))=0,"",MAX(1,MIN(5,SUMIFS(Måned!$H$5:$H$2000,Måned!$A$5:$A$2000,$A54,Måned!$C$5:$C$2000,MONTH(AY$5+3))+SUMPRODUCT((Vinduer!$A$5:$A$300=$A54)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4" s="19">
        <f>IF($A54="","",IF(COUNTIFS(Måned!$A$5:$A$2000,$A54,Måned!$C$5:$C$2000,MONTH(AZ$5+3))=0,"",MAX(1,MIN(5,SUMIFS(Måned!$H$5:$H$2000,Måned!$A$5:$A$2000,$A54,Måned!$C$5:$C$2000,MONTH(AZ$5+3))+SUMPRODUCT((Vinduer!$A$5:$A$300=$A54)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4" s="19">
        <f>IF($A54="","",IF(COUNTIFS(Måned!$A$5:$A$2000,$A54,Måned!$C$5:$C$2000,MONTH(BA$5+3))=0,"",MAX(1,MIN(5,SUMIFS(Måned!$H$5:$H$2000,Måned!$A$5:$A$2000,$A54,Måned!$C$5:$C$2000,MONTH(BA$5+3))+SUMPRODUCT((Vinduer!$A$5:$A$300=$A54)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4" s="19">
        <f>IF($A54="","",IF(COUNTIFS(Måned!$A$5:$A$2000,$A54,Måned!$C$5:$C$2000,MONTH(BB$5+3))=0,"",MAX(1,MIN(5,SUMIFS(Måned!$H$5:$H$2000,Måned!$A$5:$A$2000,$A54,Måned!$C$5:$C$2000,MONTH(BB$5+3))+SUMPRODUCT((Vinduer!$A$5:$A$300=$A54)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4" s="19">
        <f>IF($A54="","",IF(COUNTIFS(Måned!$A$5:$A$2000,$A54,Måned!$C$5:$C$2000,MONTH(BC$5+3))=0,"",MAX(1,MIN(5,SUMIFS(Måned!$H$5:$H$2000,Måned!$A$5:$A$2000,$A54,Måned!$C$5:$C$2000,MONTH(BC$5+3))+SUMPRODUCT((Vinduer!$A$5:$A$300=$A54)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4" s="19">
        <f>IF($A54="","",IF(COUNTIFS(Måned!$A$5:$A$2000,$A54,Måned!$C$5:$C$2000,MONTH(BD$5+3))=0,"",MAX(1,MIN(5,SUMIFS(Måned!$H$5:$H$2000,Måned!$A$5:$A$2000,$A54,Måned!$C$5:$C$2000,MONTH(BD$5+3))+SUMPRODUCT((Vinduer!$A$5:$A$300=$A54)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4" s="19">
        <f>IF($A54="","",IF(COUNTIFS(Måned!$A$5:$A$2000,$A54,Måned!$C$5:$C$2000,MONTH(BE$5+3))=0,"",MAX(1,MIN(5,SUMIFS(Måned!$H$5:$H$2000,Måned!$A$5:$A$2000,$A54,Måned!$C$5:$C$2000,MONTH(BE$5+3))+SUMPRODUCT((Vinduer!$A$5:$A$300=$A54)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5">
      <c r="A55" s="5">
        <f>IF(Destinasjoner!A51="","",Destinasjoner!A51)</f>
        <v/>
      </c>
      <c r="B55" s="5">
        <f>IF(A55="","",Destinasjoner!E51)</f>
        <v/>
      </c>
      <c r="C55" s="5">
        <f>IF(A55="","",Destinasjoner!B51)</f>
        <v/>
      </c>
      <c r="D55" s="17">
        <f>IFERROR(SUMIFS(F55:BE55,$F$7:$BE$7,"x")/COUNTIFS($F$7:$BE$7,"x",F55:BE55,"&gt;0"),"")</f>
        <v/>
      </c>
      <c r="E55" s="18">
        <f>IF(D55="","",_xlfn.MINIFS(F55:BE55,$F$7:$BE$7,"x",F55:BE55,"&gt;0"))</f>
        <v/>
      </c>
      <c r="F55" s="19">
        <f>IF($A55="","",IF(COUNTIFS(Måned!$A$5:$A$2000,$A55,Måned!$C$5:$C$2000,MONTH(F$5+3))=0,"",MAX(1,MIN(5,SUMIFS(Måned!$H$5:$H$2000,Måned!$A$5:$A$2000,$A55,Måned!$C$5:$C$2000,MONTH(F$5+3))+SUMPRODUCT((Vinduer!$A$5:$A$300=$A55)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5" s="19">
        <f>IF($A55="","",IF(COUNTIFS(Måned!$A$5:$A$2000,$A55,Måned!$C$5:$C$2000,MONTH(G$5+3))=0,"",MAX(1,MIN(5,SUMIFS(Måned!$H$5:$H$2000,Måned!$A$5:$A$2000,$A55,Måned!$C$5:$C$2000,MONTH(G$5+3))+SUMPRODUCT((Vinduer!$A$5:$A$300=$A55)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5" s="19">
        <f>IF($A55="","",IF(COUNTIFS(Måned!$A$5:$A$2000,$A55,Måned!$C$5:$C$2000,MONTH(H$5+3))=0,"",MAX(1,MIN(5,SUMIFS(Måned!$H$5:$H$2000,Måned!$A$5:$A$2000,$A55,Måned!$C$5:$C$2000,MONTH(H$5+3))+SUMPRODUCT((Vinduer!$A$5:$A$300=$A55)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5" s="19">
        <f>IF($A55="","",IF(COUNTIFS(Måned!$A$5:$A$2000,$A55,Måned!$C$5:$C$2000,MONTH(I$5+3))=0,"",MAX(1,MIN(5,SUMIFS(Måned!$H$5:$H$2000,Måned!$A$5:$A$2000,$A55,Måned!$C$5:$C$2000,MONTH(I$5+3))+SUMPRODUCT((Vinduer!$A$5:$A$300=$A55)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5" s="19">
        <f>IF($A55="","",IF(COUNTIFS(Måned!$A$5:$A$2000,$A55,Måned!$C$5:$C$2000,MONTH(J$5+3))=0,"",MAX(1,MIN(5,SUMIFS(Måned!$H$5:$H$2000,Måned!$A$5:$A$2000,$A55,Måned!$C$5:$C$2000,MONTH(J$5+3))+SUMPRODUCT((Vinduer!$A$5:$A$300=$A55)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5" s="19">
        <f>IF($A55="","",IF(COUNTIFS(Måned!$A$5:$A$2000,$A55,Måned!$C$5:$C$2000,MONTH(K$5+3))=0,"",MAX(1,MIN(5,SUMIFS(Måned!$H$5:$H$2000,Måned!$A$5:$A$2000,$A55,Måned!$C$5:$C$2000,MONTH(K$5+3))+SUMPRODUCT((Vinduer!$A$5:$A$300=$A55)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5" s="19">
        <f>IF($A55="","",IF(COUNTIFS(Måned!$A$5:$A$2000,$A55,Måned!$C$5:$C$2000,MONTH(L$5+3))=0,"",MAX(1,MIN(5,SUMIFS(Måned!$H$5:$H$2000,Måned!$A$5:$A$2000,$A55,Måned!$C$5:$C$2000,MONTH(L$5+3))+SUMPRODUCT((Vinduer!$A$5:$A$300=$A55)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5" s="19">
        <f>IF($A55="","",IF(COUNTIFS(Måned!$A$5:$A$2000,$A55,Måned!$C$5:$C$2000,MONTH(M$5+3))=0,"",MAX(1,MIN(5,SUMIFS(Måned!$H$5:$H$2000,Måned!$A$5:$A$2000,$A55,Måned!$C$5:$C$2000,MONTH(M$5+3))+SUMPRODUCT((Vinduer!$A$5:$A$300=$A55)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5" s="19">
        <f>IF($A55="","",IF(COUNTIFS(Måned!$A$5:$A$2000,$A55,Måned!$C$5:$C$2000,MONTH(N$5+3))=0,"",MAX(1,MIN(5,SUMIFS(Måned!$H$5:$H$2000,Måned!$A$5:$A$2000,$A55,Måned!$C$5:$C$2000,MONTH(N$5+3))+SUMPRODUCT((Vinduer!$A$5:$A$300=$A55)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5" s="19">
        <f>IF($A55="","",IF(COUNTIFS(Måned!$A$5:$A$2000,$A55,Måned!$C$5:$C$2000,MONTH(O$5+3))=0,"",MAX(1,MIN(5,SUMIFS(Måned!$H$5:$H$2000,Måned!$A$5:$A$2000,$A55,Måned!$C$5:$C$2000,MONTH(O$5+3))+SUMPRODUCT((Vinduer!$A$5:$A$300=$A55)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5" s="19">
        <f>IF($A55="","",IF(COUNTIFS(Måned!$A$5:$A$2000,$A55,Måned!$C$5:$C$2000,MONTH(P$5+3))=0,"",MAX(1,MIN(5,SUMIFS(Måned!$H$5:$H$2000,Måned!$A$5:$A$2000,$A55,Måned!$C$5:$C$2000,MONTH(P$5+3))+SUMPRODUCT((Vinduer!$A$5:$A$300=$A55)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5" s="19">
        <f>IF($A55="","",IF(COUNTIFS(Måned!$A$5:$A$2000,$A55,Måned!$C$5:$C$2000,MONTH(Q$5+3))=0,"",MAX(1,MIN(5,SUMIFS(Måned!$H$5:$H$2000,Måned!$A$5:$A$2000,$A55,Måned!$C$5:$C$2000,MONTH(Q$5+3))+SUMPRODUCT((Vinduer!$A$5:$A$300=$A55)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5" s="19">
        <f>IF($A55="","",IF(COUNTIFS(Måned!$A$5:$A$2000,$A55,Måned!$C$5:$C$2000,MONTH(R$5+3))=0,"",MAX(1,MIN(5,SUMIFS(Måned!$H$5:$H$2000,Måned!$A$5:$A$2000,$A55,Måned!$C$5:$C$2000,MONTH(R$5+3))+SUMPRODUCT((Vinduer!$A$5:$A$300=$A55)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5" s="19">
        <f>IF($A55="","",IF(COUNTIFS(Måned!$A$5:$A$2000,$A55,Måned!$C$5:$C$2000,MONTH(S$5+3))=0,"",MAX(1,MIN(5,SUMIFS(Måned!$H$5:$H$2000,Måned!$A$5:$A$2000,$A55,Måned!$C$5:$C$2000,MONTH(S$5+3))+SUMPRODUCT((Vinduer!$A$5:$A$300=$A55)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5" s="19">
        <f>IF($A55="","",IF(COUNTIFS(Måned!$A$5:$A$2000,$A55,Måned!$C$5:$C$2000,MONTH(T$5+3))=0,"",MAX(1,MIN(5,SUMIFS(Måned!$H$5:$H$2000,Måned!$A$5:$A$2000,$A55,Måned!$C$5:$C$2000,MONTH(T$5+3))+SUMPRODUCT((Vinduer!$A$5:$A$300=$A55)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5" s="19">
        <f>IF($A55="","",IF(COUNTIFS(Måned!$A$5:$A$2000,$A55,Måned!$C$5:$C$2000,MONTH(U$5+3))=0,"",MAX(1,MIN(5,SUMIFS(Måned!$H$5:$H$2000,Måned!$A$5:$A$2000,$A55,Måned!$C$5:$C$2000,MONTH(U$5+3))+SUMPRODUCT((Vinduer!$A$5:$A$300=$A55)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5" s="19">
        <f>IF($A55="","",IF(COUNTIFS(Måned!$A$5:$A$2000,$A55,Måned!$C$5:$C$2000,MONTH(V$5+3))=0,"",MAX(1,MIN(5,SUMIFS(Måned!$H$5:$H$2000,Måned!$A$5:$A$2000,$A55,Måned!$C$5:$C$2000,MONTH(V$5+3))+SUMPRODUCT((Vinduer!$A$5:$A$300=$A55)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5" s="19">
        <f>IF($A55="","",IF(COUNTIFS(Måned!$A$5:$A$2000,$A55,Måned!$C$5:$C$2000,MONTH(W$5+3))=0,"",MAX(1,MIN(5,SUMIFS(Måned!$H$5:$H$2000,Måned!$A$5:$A$2000,$A55,Måned!$C$5:$C$2000,MONTH(W$5+3))+SUMPRODUCT((Vinduer!$A$5:$A$300=$A55)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5" s="19">
        <f>IF($A55="","",IF(COUNTIFS(Måned!$A$5:$A$2000,$A55,Måned!$C$5:$C$2000,MONTH(X$5+3))=0,"",MAX(1,MIN(5,SUMIFS(Måned!$H$5:$H$2000,Måned!$A$5:$A$2000,$A55,Måned!$C$5:$C$2000,MONTH(X$5+3))+SUMPRODUCT((Vinduer!$A$5:$A$300=$A55)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5" s="19">
        <f>IF($A55="","",IF(COUNTIFS(Måned!$A$5:$A$2000,$A55,Måned!$C$5:$C$2000,MONTH(Y$5+3))=0,"",MAX(1,MIN(5,SUMIFS(Måned!$H$5:$H$2000,Måned!$A$5:$A$2000,$A55,Måned!$C$5:$C$2000,MONTH(Y$5+3))+SUMPRODUCT((Vinduer!$A$5:$A$300=$A55)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5" s="19">
        <f>IF($A55="","",IF(COUNTIFS(Måned!$A$5:$A$2000,$A55,Måned!$C$5:$C$2000,MONTH(Z$5+3))=0,"",MAX(1,MIN(5,SUMIFS(Måned!$H$5:$H$2000,Måned!$A$5:$A$2000,$A55,Måned!$C$5:$C$2000,MONTH(Z$5+3))+SUMPRODUCT((Vinduer!$A$5:$A$300=$A55)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5" s="19">
        <f>IF($A55="","",IF(COUNTIFS(Måned!$A$5:$A$2000,$A55,Måned!$C$5:$C$2000,MONTH(AA$5+3))=0,"",MAX(1,MIN(5,SUMIFS(Måned!$H$5:$H$2000,Måned!$A$5:$A$2000,$A55,Måned!$C$5:$C$2000,MONTH(AA$5+3))+SUMPRODUCT((Vinduer!$A$5:$A$300=$A55)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5" s="19">
        <f>IF($A55="","",IF(COUNTIFS(Måned!$A$5:$A$2000,$A55,Måned!$C$5:$C$2000,MONTH(AB$5+3))=0,"",MAX(1,MIN(5,SUMIFS(Måned!$H$5:$H$2000,Måned!$A$5:$A$2000,$A55,Måned!$C$5:$C$2000,MONTH(AB$5+3))+SUMPRODUCT((Vinduer!$A$5:$A$300=$A55)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5" s="19">
        <f>IF($A55="","",IF(COUNTIFS(Måned!$A$5:$A$2000,$A55,Måned!$C$5:$C$2000,MONTH(AC$5+3))=0,"",MAX(1,MIN(5,SUMIFS(Måned!$H$5:$H$2000,Måned!$A$5:$A$2000,$A55,Måned!$C$5:$C$2000,MONTH(AC$5+3))+SUMPRODUCT((Vinduer!$A$5:$A$300=$A55)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5" s="19">
        <f>IF($A55="","",IF(COUNTIFS(Måned!$A$5:$A$2000,$A55,Måned!$C$5:$C$2000,MONTH(AD$5+3))=0,"",MAX(1,MIN(5,SUMIFS(Måned!$H$5:$H$2000,Måned!$A$5:$A$2000,$A55,Måned!$C$5:$C$2000,MONTH(AD$5+3))+SUMPRODUCT((Vinduer!$A$5:$A$300=$A55)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5" s="19">
        <f>IF($A55="","",IF(COUNTIFS(Måned!$A$5:$A$2000,$A55,Måned!$C$5:$C$2000,MONTH(AE$5+3))=0,"",MAX(1,MIN(5,SUMIFS(Måned!$H$5:$H$2000,Måned!$A$5:$A$2000,$A55,Måned!$C$5:$C$2000,MONTH(AE$5+3))+SUMPRODUCT((Vinduer!$A$5:$A$300=$A55)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5" s="19">
        <f>IF($A55="","",IF(COUNTIFS(Måned!$A$5:$A$2000,$A55,Måned!$C$5:$C$2000,MONTH(AF$5+3))=0,"",MAX(1,MIN(5,SUMIFS(Måned!$H$5:$H$2000,Måned!$A$5:$A$2000,$A55,Måned!$C$5:$C$2000,MONTH(AF$5+3))+SUMPRODUCT((Vinduer!$A$5:$A$300=$A55)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5" s="19">
        <f>IF($A55="","",IF(COUNTIFS(Måned!$A$5:$A$2000,$A55,Måned!$C$5:$C$2000,MONTH(AG$5+3))=0,"",MAX(1,MIN(5,SUMIFS(Måned!$H$5:$H$2000,Måned!$A$5:$A$2000,$A55,Måned!$C$5:$C$2000,MONTH(AG$5+3))+SUMPRODUCT((Vinduer!$A$5:$A$300=$A55)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5" s="19">
        <f>IF($A55="","",IF(COUNTIFS(Måned!$A$5:$A$2000,$A55,Måned!$C$5:$C$2000,MONTH(AH$5+3))=0,"",MAX(1,MIN(5,SUMIFS(Måned!$H$5:$H$2000,Måned!$A$5:$A$2000,$A55,Måned!$C$5:$C$2000,MONTH(AH$5+3))+SUMPRODUCT((Vinduer!$A$5:$A$300=$A55)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5" s="19">
        <f>IF($A55="","",IF(COUNTIFS(Måned!$A$5:$A$2000,$A55,Måned!$C$5:$C$2000,MONTH(AI$5+3))=0,"",MAX(1,MIN(5,SUMIFS(Måned!$H$5:$H$2000,Måned!$A$5:$A$2000,$A55,Måned!$C$5:$C$2000,MONTH(AI$5+3))+SUMPRODUCT((Vinduer!$A$5:$A$300=$A55)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5" s="19">
        <f>IF($A55="","",IF(COUNTIFS(Måned!$A$5:$A$2000,$A55,Måned!$C$5:$C$2000,MONTH(AJ$5+3))=0,"",MAX(1,MIN(5,SUMIFS(Måned!$H$5:$H$2000,Måned!$A$5:$A$2000,$A55,Måned!$C$5:$C$2000,MONTH(AJ$5+3))+SUMPRODUCT((Vinduer!$A$5:$A$300=$A55)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5" s="19">
        <f>IF($A55="","",IF(COUNTIFS(Måned!$A$5:$A$2000,$A55,Måned!$C$5:$C$2000,MONTH(AK$5+3))=0,"",MAX(1,MIN(5,SUMIFS(Måned!$H$5:$H$2000,Måned!$A$5:$A$2000,$A55,Måned!$C$5:$C$2000,MONTH(AK$5+3))+SUMPRODUCT((Vinduer!$A$5:$A$300=$A55)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5" s="19">
        <f>IF($A55="","",IF(COUNTIFS(Måned!$A$5:$A$2000,$A55,Måned!$C$5:$C$2000,MONTH(AL$5+3))=0,"",MAX(1,MIN(5,SUMIFS(Måned!$H$5:$H$2000,Måned!$A$5:$A$2000,$A55,Måned!$C$5:$C$2000,MONTH(AL$5+3))+SUMPRODUCT((Vinduer!$A$5:$A$300=$A55)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5" s="19">
        <f>IF($A55="","",IF(COUNTIFS(Måned!$A$5:$A$2000,$A55,Måned!$C$5:$C$2000,MONTH(AM$5+3))=0,"",MAX(1,MIN(5,SUMIFS(Måned!$H$5:$H$2000,Måned!$A$5:$A$2000,$A55,Måned!$C$5:$C$2000,MONTH(AM$5+3))+SUMPRODUCT((Vinduer!$A$5:$A$300=$A55)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5" s="19">
        <f>IF($A55="","",IF(COUNTIFS(Måned!$A$5:$A$2000,$A55,Måned!$C$5:$C$2000,MONTH(AN$5+3))=0,"",MAX(1,MIN(5,SUMIFS(Måned!$H$5:$H$2000,Måned!$A$5:$A$2000,$A55,Måned!$C$5:$C$2000,MONTH(AN$5+3))+SUMPRODUCT((Vinduer!$A$5:$A$300=$A55)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5" s="19">
        <f>IF($A55="","",IF(COUNTIFS(Måned!$A$5:$A$2000,$A55,Måned!$C$5:$C$2000,MONTH(AO$5+3))=0,"",MAX(1,MIN(5,SUMIFS(Måned!$H$5:$H$2000,Måned!$A$5:$A$2000,$A55,Måned!$C$5:$C$2000,MONTH(AO$5+3))+SUMPRODUCT((Vinduer!$A$5:$A$300=$A55)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5" s="19">
        <f>IF($A55="","",IF(COUNTIFS(Måned!$A$5:$A$2000,$A55,Måned!$C$5:$C$2000,MONTH(AP$5+3))=0,"",MAX(1,MIN(5,SUMIFS(Måned!$H$5:$H$2000,Måned!$A$5:$A$2000,$A55,Måned!$C$5:$C$2000,MONTH(AP$5+3))+SUMPRODUCT((Vinduer!$A$5:$A$300=$A55)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5" s="19">
        <f>IF($A55="","",IF(COUNTIFS(Måned!$A$5:$A$2000,$A55,Måned!$C$5:$C$2000,MONTH(AQ$5+3))=0,"",MAX(1,MIN(5,SUMIFS(Måned!$H$5:$H$2000,Måned!$A$5:$A$2000,$A55,Måned!$C$5:$C$2000,MONTH(AQ$5+3))+SUMPRODUCT((Vinduer!$A$5:$A$300=$A55)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5" s="19">
        <f>IF($A55="","",IF(COUNTIFS(Måned!$A$5:$A$2000,$A55,Måned!$C$5:$C$2000,MONTH(AR$5+3))=0,"",MAX(1,MIN(5,SUMIFS(Måned!$H$5:$H$2000,Måned!$A$5:$A$2000,$A55,Måned!$C$5:$C$2000,MONTH(AR$5+3))+SUMPRODUCT((Vinduer!$A$5:$A$300=$A55)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5" s="19">
        <f>IF($A55="","",IF(COUNTIFS(Måned!$A$5:$A$2000,$A55,Måned!$C$5:$C$2000,MONTH(AS$5+3))=0,"",MAX(1,MIN(5,SUMIFS(Måned!$H$5:$H$2000,Måned!$A$5:$A$2000,$A55,Måned!$C$5:$C$2000,MONTH(AS$5+3))+SUMPRODUCT((Vinduer!$A$5:$A$300=$A55)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5" s="19">
        <f>IF($A55="","",IF(COUNTIFS(Måned!$A$5:$A$2000,$A55,Måned!$C$5:$C$2000,MONTH(AT$5+3))=0,"",MAX(1,MIN(5,SUMIFS(Måned!$H$5:$H$2000,Måned!$A$5:$A$2000,$A55,Måned!$C$5:$C$2000,MONTH(AT$5+3))+SUMPRODUCT((Vinduer!$A$5:$A$300=$A55)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5" s="19">
        <f>IF($A55="","",IF(COUNTIFS(Måned!$A$5:$A$2000,$A55,Måned!$C$5:$C$2000,MONTH(AU$5+3))=0,"",MAX(1,MIN(5,SUMIFS(Måned!$H$5:$H$2000,Måned!$A$5:$A$2000,$A55,Måned!$C$5:$C$2000,MONTH(AU$5+3))+SUMPRODUCT((Vinduer!$A$5:$A$300=$A55)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5" s="19">
        <f>IF($A55="","",IF(COUNTIFS(Måned!$A$5:$A$2000,$A55,Måned!$C$5:$C$2000,MONTH(AV$5+3))=0,"",MAX(1,MIN(5,SUMIFS(Måned!$H$5:$H$2000,Måned!$A$5:$A$2000,$A55,Måned!$C$5:$C$2000,MONTH(AV$5+3))+SUMPRODUCT((Vinduer!$A$5:$A$300=$A55)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5" s="19">
        <f>IF($A55="","",IF(COUNTIFS(Måned!$A$5:$A$2000,$A55,Måned!$C$5:$C$2000,MONTH(AW$5+3))=0,"",MAX(1,MIN(5,SUMIFS(Måned!$H$5:$H$2000,Måned!$A$5:$A$2000,$A55,Måned!$C$5:$C$2000,MONTH(AW$5+3))+SUMPRODUCT((Vinduer!$A$5:$A$300=$A55)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5" s="19">
        <f>IF($A55="","",IF(COUNTIFS(Måned!$A$5:$A$2000,$A55,Måned!$C$5:$C$2000,MONTH(AX$5+3))=0,"",MAX(1,MIN(5,SUMIFS(Måned!$H$5:$H$2000,Måned!$A$5:$A$2000,$A55,Måned!$C$5:$C$2000,MONTH(AX$5+3))+SUMPRODUCT((Vinduer!$A$5:$A$300=$A55)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5" s="19">
        <f>IF($A55="","",IF(COUNTIFS(Måned!$A$5:$A$2000,$A55,Måned!$C$5:$C$2000,MONTH(AY$5+3))=0,"",MAX(1,MIN(5,SUMIFS(Måned!$H$5:$H$2000,Måned!$A$5:$A$2000,$A55,Måned!$C$5:$C$2000,MONTH(AY$5+3))+SUMPRODUCT((Vinduer!$A$5:$A$300=$A55)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5" s="19">
        <f>IF($A55="","",IF(COUNTIFS(Måned!$A$5:$A$2000,$A55,Måned!$C$5:$C$2000,MONTH(AZ$5+3))=0,"",MAX(1,MIN(5,SUMIFS(Måned!$H$5:$H$2000,Måned!$A$5:$A$2000,$A55,Måned!$C$5:$C$2000,MONTH(AZ$5+3))+SUMPRODUCT((Vinduer!$A$5:$A$300=$A55)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5" s="19">
        <f>IF($A55="","",IF(COUNTIFS(Måned!$A$5:$A$2000,$A55,Måned!$C$5:$C$2000,MONTH(BA$5+3))=0,"",MAX(1,MIN(5,SUMIFS(Måned!$H$5:$H$2000,Måned!$A$5:$A$2000,$A55,Måned!$C$5:$C$2000,MONTH(BA$5+3))+SUMPRODUCT((Vinduer!$A$5:$A$300=$A55)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5" s="19">
        <f>IF($A55="","",IF(COUNTIFS(Måned!$A$5:$A$2000,$A55,Måned!$C$5:$C$2000,MONTH(BB$5+3))=0,"",MAX(1,MIN(5,SUMIFS(Måned!$H$5:$H$2000,Måned!$A$5:$A$2000,$A55,Måned!$C$5:$C$2000,MONTH(BB$5+3))+SUMPRODUCT((Vinduer!$A$5:$A$300=$A55)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5" s="19">
        <f>IF($A55="","",IF(COUNTIFS(Måned!$A$5:$A$2000,$A55,Måned!$C$5:$C$2000,MONTH(BC$5+3))=0,"",MAX(1,MIN(5,SUMIFS(Måned!$H$5:$H$2000,Måned!$A$5:$A$2000,$A55,Måned!$C$5:$C$2000,MONTH(BC$5+3))+SUMPRODUCT((Vinduer!$A$5:$A$300=$A55)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5" s="19">
        <f>IF($A55="","",IF(COUNTIFS(Måned!$A$5:$A$2000,$A55,Måned!$C$5:$C$2000,MONTH(BD$5+3))=0,"",MAX(1,MIN(5,SUMIFS(Måned!$H$5:$H$2000,Måned!$A$5:$A$2000,$A55,Måned!$C$5:$C$2000,MONTH(BD$5+3))+SUMPRODUCT((Vinduer!$A$5:$A$300=$A55)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5" s="19">
        <f>IF($A55="","",IF(COUNTIFS(Måned!$A$5:$A$2000,$A55,Måned!$C$5:$C$2000,MONTH(BE$5+3))=0,"",MAX(1,MIN(5,SUMIFS(Måned!$H$5:$H$2000,Måned!$A$5:$A$2000,$A55,Måned!$C$5:$C$2000,MONTH(BE$5+3))+SUMPRODUCT((Vinduer!$A$5:$A$300=$A55)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6">
      <c r="A56" s="5">
        <f>IF(Destinasjoner!A52="","",Destinasjoner!A52)</f>
        <v/>
      </c>
      <c r="B56" s="5">
        <f>IF(A56="","",Destinasjoner!E52)</f>
        <v/>
      </c>
      <c r="C56" s="5">
        <f>IF(A56="","",Destinasjoner!B52)</f>
        <v/>
      </c>
      <c r="D56" s="17">
        <f>IFERROR(SUMIFS(F56:BE56,$F$7:$BE$7,"x")/COUNTIFS($F$7:$BE$7,"x",F56:BE56,"&gt;0"),"")</f>
        <v/>
      </c>
      <c r="E56" s="18">
        <f>IF(D56="","",_xlfn.MINIFS(F56:BE56,$F$7:$BE$7,"x",F56:BE56,"&gt;0"))</f>
        <v/>
      </c>
      <c r="F56" s="19">
        <f>IF($A56="","",IF(COUNTIFS(Måned!$A$5:$A$2000,$A56,Måned!$C$5:$C$2000,MONTH(F$5+3))=0,"",MAX(1,MIN(5,SUMIFS(Måned!$H$5:$H$2000,Måned!$A$5:$A$2000,$A56,Måned!$C$5:$C$2000,MONTH(F$5+3))+SUMPRODUCT((Vinduer!$A$5:$A$300=$A56)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6" s="19">
        <f>IF($A56="","",IF(COUNTIFS(Måned!$A$5:$A$2000,$A56,Måned!$C$5:$C$2000,MONTH(G$5+3))=0,"",MAX(1,MIN(5,SUMIFS(Måned!$H$5:$H$2000,Måned!$A$5:$A$2000,$A56,Måned!$C$5:$C$2000,MONTH(G$5+3))+SUMPRODUCT((Vinduer!$A$5:$A$300=$A56)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6" s="19">
        <f>IF($A56="","",IF(COUNTIFS(Måned!$A$5:$A$2000,$A56,Måned!$C$5:$C$2000,MONTH(H$5+3))=0,"",MAX(1,MIN(5,SUMIFS(Måned!$H$5:$H$2000,Måned!$A$5:$A$2000,$A56,Måned!$C$5:$C$2000,MONTH(H$5+3))+SUMPRODUCT((Vinduer!$A$5:$A$300=$A56)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6" s="19">
        <f>IF($A56="","",IF(COUNTIFS(Måned!$A$5:$A$2000,$A56,Måned!$C$5:$C$2000,MONTH(I$5+3))=0,"",MAX(1,MIN(5,SUMIFS(Måned!$H$5:$H$2000,Måned!$A$5:$A$2000,$A56,Måned!$C$5:$C$2000,MONTH(I$5+3))+SUMPRODUCT((Vinduer!$A$5:$A$300=$A56)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6" s="19">
        <f>IF($A56="","",IF(COUNTIFS(Måned!$A$5:$A$2000,$A56,Måned!$C$5:$C$2000,MONTH(J$5+3))=0,"",MAX(1,MIN(5,SUMIFS(Måned!$H$5:$H$2000,Måned!$A$5:$A$2000,$A56,Måned!$C$5:$C$2000,MONTH(J$5+3))+SUMPRODUCT((Vinduer!$A$5:$A$300=$A56)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6" s="19">
        <f>IF($A56="","",IF(COUNTIFS(Måned!$A$5:$A$2000,$A56,Måned!$C$5:$C$2000,MONTH(K$5+3))=0,"",MAX(1,MIN(5,SUMIFS(Måned!$H$5:$H$2000,Måned!$A$5:$A$2000,$A56,Måned!$C$5:$C$2000,MONTH(K$5+3))+SUMPRODUCT((Vinduer!$A$5:$A$300=$A56)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6" s="19">
        <f>IF($A56="","",IF(COUNTIFS(Måned!$A$5:$A$2000,$A56,Måned!$C$5:$C$2000,MONTH(L$5+3))=0,"",MAX(1,MIN(5,SUMIFS(Måned!$H$5:$H$2000,Måned!$A$5:$A$2000,$A56,Måned!$C$5:$C$2000,MONTH(L$5+3))+SUMPRODUCT((Vinduer!$A$5:$A$300=$A56)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6" s="19">
        <f>IF($A56="","",IF(COUNTIFS(Måned!$A$5:$A$2000,$A56,Måned!$C$5:$C$2000,MONTH(M$5+3))=0,"",MAX(1,MIN(5,SUMIFS(Måned!$H$5:$H$2000,Måned!$A$5:$A$2000,$A56,Måned!$C$5:$C$2000,MONTH(M$5+3))+SUMPRODUCT((Vinduer!$A$5:$A$300=$A56)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6" s="19">
        <f>IF($A56="","",IF(COUNTIFS(Måned!$A$5:$A$2000,$A56,Måned!$C$5:$C$2000,MONTH(N$5+3))=0,"",MAX(1,MIN(5,SUMIFS(Måned!$H$5:$H$2000,Måned!$A$5:$A$2000,$A56,Måned!$C$5:$C$2000,MONTH(N$5+3))+SUMPRODUCT((Vinduer!$A$5:$A$300=$A56)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6" s="19">
        <f>IF($A56="","",IF(COUNTIFS(Måned!$A$5:$A$2000,$A56,Måned!$C$5:$C$2000,MONTH(O$5+3))=0,"",MAX(1,MIN(5,SUMIFS(Måned!$H$5:$H$2000,Måned!$A$5:$A$2000,$A56,Måned!$C$5:$C$2000,MONTH(O$5+3))+SUMPRODUCT((Vinduer!$A$5:$A$300=$A56)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6" s="19">
        <f>IF($A56="","",IF(COUNTIFS(Måned!$A$5:$A$2000,$A56,Måned!$C$5:$C$2000,MONTH(P$5+3))=0,"",MAX(1,MIN(5,SUMIFS(Måned!$H$5:$H$2000,Måned!$A$5:$A$2000,$A56,Måned!$C$5:$C$2000,MONTH(P$5+3))+SUMPRODUCT((Vinduer!$A$5:$A$300=$A56)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6" s="19">
        <f>IF($A56="","",IF(COUNTIFS(Måned!$A$5:$A$2000,$A56,Måned!$C$5:$C$2000,MONTH(Q$5+3))=0,"",MAX(1,MIN(5,SUMIFS(Måned!$H$5:$H$2000,Måned!$A$5:$A$2000,$A56,Måned!$C$5:$C$2000,MONTH(Q$5+3))+SUMPRODUCT((Vinduer!$A$5:$A$300=$A56)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6" s="19">
        <f>IF($A56="","",IF(COUNTIFS(Måned!$A$5:$A$2000,$A56,Måned!$C$5:$C$2000,MONTH(R$5+3))=0,"",MAX(1,MIN(5,SUMIFS(Måned!$H$5:$H$2000,Måned!$A$5:$A$2000,$A56,Måned!$C$5:$C$2000,MONTH(R$5+3))+SUMPRODUCT((Vinduer!$A$5:$A$300=$A56)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6" s="19">
        <f>IF($A56="","",IF(COUNTIFS(Måned!$A$5:$A$2000,$A56,Måned!$C$5:$C$2000,MONTH(S$5+3))=0,"",MAX(1,MIN(5,SUMIFS(Måned!$H$5:$H$2000,Måned!$A$5:$A$2000,$A56,Måned!$C$5:$C$2000,MONTH(S$5+3))+SUMPRODUCT((Vinduer!$A$5:$A$300=$A56)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6" s="19">
        <f>IF($A56="","",IF(COUNTIFS(Måned!$A$5:$A$2000,$A56,Måned!$C$5:$C$2000,MONTH(T$5+3))=0,"",MAX(1,MIN(5,SUMIFS(Måned!$H$5:$H$2000,Måned!$A$5:$A$2000,$A56,Måned!$C$5:$C$2000,MONTH(T$5+3))+SUMPRODUCT((Vinduer!$A$5:$A$300=$A56)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6" s="19">
        <f>IF($A56="","",IF(COUNTIFS(Måned!$A$5:$A$2000,$A56,Måned!$C$5:$C$2000,MONTH(U$5+3))=0,"",MAX(1,MIN(5,SUMIFS(Måned!$H$5:$H$2000,Måned!$A$5:$A$2000,$A56,Måned!$C$5:$C$2000,MONTH(U$5+3))+SUMPRODUCT((Vinduer!$A$5:$A$300=$A56)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6" s="19">
        <f>IF($A56="","",IF(COUNTIFS(Måned!$A$5:$A$2000,$A56,Måned!$C$5:$C$2000,MONTH(V$5+3))=0,"",MAX(1,MIN(5,SUMIFS(Måned!$H$5:$H$2000,Måned!$A$5:$A$2000,$A56,Måned!$C$5:$C$2000,MONTH(V$5+3))+SUMPRODUCT((Vinduer!$A$5:$A$300=$A56)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6" s="19">
        <f>IF($A56="","",IF(COUNTIFS(Måned!$A$5:$A$2000,$A56,Måned!$C$5:$C$2000,MONTH(W$5+3))=0,"",MAX(1,MIN(5,SUMIFS(Måned!$H$5:$H$2000,Måned!$A$5:$A$2000,$A56,Måned!$C$5:$C$2000,MONTH(W$5+3))+SUMPRODUCT((Vinduer!$A$5:$A$300=$A56)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6" s="19">
        <f>IF($A56="","",IF(COUNTIFS(Måned!$A$5:$A$2000,$A56,Måned!$C$5:$C$2000,MONTH(X$5+3))=0,"",MAX(1,MIN(5,SUMIFS(Måned!$H$5:$H$2000,Måned!$A$5:$A$2000,$A56,Måned!$C$5:$C$2000,MONTH(X$5+3))+SUMPRODUCT((Vinduer!$A$5:$A$300=$A56)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6" s="19">
        <f>IF($A56="","",IF(COUNTIFS(Måned!$A$5:$A$2000,$A56,Måned!$C$5:$C$2000,MONTH(Y$5+3))=0,"",MAX(1,MIN(5,SUMIFS(Måned!$H$5:$H$2000,Måned!$A$5:$A$2000,$A56,Måned!$C$5:$C$2000,MONTH(Y$5+3))+SUMPRODUCT((Vinduer!$A$5:$A$300=$A56)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6" s="19">
        <f>IF($A56="","",IF(COUNTIFS(Måned!$A$5:$A$2000,$A56,Måned!$C$5:$C$2000,MONTH(Z$5+3))=0,"",MAX(1,MIN(5,SUMIFS(Måned!$H$5:$H$2000,Måned!$A$5:$A$2000,$A56,Måned!$C$5:$C$2000,MONTH(Z$5+3))+SUMPRODUCT((Vinduer!$A$5:$A$300=$A56)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6" s="19">
        <f>IF($A56="","",IF(COUNTIFS(Måned!$A$5:$A$2000,$A56,Måned!$C$5:$C$2000,MONTH(AA$5+3))=0,"",MAX(1,MIN(5,SUMIFS(Måned!$H$5:$H$2000,Måned!$A$5:$A$2000,$A56,Måned!$C$5:$C$2000,MONTH(AA$5+3))+SUMPRODUCT((Vinduer!$A$5:$A$300=$A56)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6" s="19">
        <f>IF($A56="","",IF(COUNTIFS(Måned!$A$5:$A$2000,$A56,Måned!$C$5:$C$2000,MONTH(AB$5+3))=0,"",MAX(1,MIN(5,SUMIFS(Måned!$H$5:$H$2000,Måned!$A$5:$A$2000,$A56,Måned!$C$5:$C$2000,MONTH(AB$5+3))+SUMPRODUCT((Vinduer!$A$5:$A$300=$A56)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6" s="19">
        <f>IF($A56="","",IF(COUNTIFS(Måned!$A$5:$A$2000,$A56,Måned!$C$5:$C$2000,MONTH(AC$5+3))=0,"",MAX(1,MIN(5,SUMIFS(Måned!$H$5:$H$2000,Måned!$A$5:$A$2000,$A56,Måned!$C$5:$C$2000,MONTH(AC$5+3))+SUMPRODUCT((Vinduer!$A$5:$A$300=$A56)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6" s="19">
        <f>IF($A56="","",IF(COUNTIFS(Måned!$A$5:$A$2000,$A56,Måned!$C$5:$C$2000,MONTH(AD$5+3))=0,"",MAX(1,MIN(5,SUMIFS(Måned!$H$5:$H$2000,Måned!$A$5:$A$2000,$A56,Måned!$C$5:$C$2000,MONTH(AD$5+3))+SUMPRODUCT((Vinduer!$A$5:$A$300=$A56)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6" s="19">
        <f>IF($A56="","",IF(COUNTIFS(Måned!$A$5:$A$2000,$A56,Måned!$C$5:$C$2000,MONTH(AE$5+3))=0,"",MAX(1,MIN(5,SUMIFS(Måned!$H$5:$H$2000,Måned!$A$5:$A$2000,$A56,Måned!$C$5:$C$2000,MONTH(AE$5+3))+SUMPRODUCT((Vinduer!$A$5:$A$300=$A56)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6" s="19">
        <f>IF($A56="","",IF(COUNTIFS(Måned!$A$5:$A$2000,$A56,Måned!$C$5:$C$2000,MONTH(AF$5+3))=0,"",MAX(1,MIN(5,SUMIFS(Måned!$H$5:$H$2000,Måned!$A$5:$A$2000,$A56,Måned!$C$5:$C$2000,MONTH(AF$5+3))+SUMPRODUCT((Vinduer!$A$5:$A$300=$A56)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6" s="19">
        <f>IF($A56="","",IF(COUNTIFS(Måned!$A$5:$A$2000,$A56,Måned!$C$5:$C$2000,MONTH(AG$5+3))=0,"",MAX(1,MIN(5,SUMIFS(Måned!$H$5:$H$2000,Måned!$A$5:$A$2000,$A56,Måned!$C$5:$C$2000,MONTH(AG$5+3))+SUMPRODUCT((Vinduer!$A$5:$A$300=$A56)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6" s="19">
        <f>IF($A56="","",IF(COUNTIFS(Måned!$A$5:$A$2000,$A56,Måned!$C$5:$C$2000,MONTH(AH$5+3))=0,"",MAX(1,MIN(5,SUMIFS(Måned!$H$5:$H$2000,Måned!$A$5:$A$2000,$A56,Måned!$C$5:$C$2000,MONTH(AH$5+3))+SUMPRODUCT((Vinduer!$A$5:$A$300=$A56)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6" s="19">
        <f>IF($A56="","",IF(COUNTIFS(Måned!$A$5:$A$2000,$A56,Måned!$C$5:$C$2000,MONTH(AI$5+3))=0,"",MAX(1,MIN(5,SUMIFS(Måned!$H$5:$H$2000,Måned!$A$5:$A$2000,$A56,Måned!$C$5:$C$2000,MONTH(AI$5+3))+SUMPRODUCT((Vinduer!$A$5:$A$300=$A56)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6" s="19">
        <f>IF($A56="","",IF(COUNTIFS(Måned!$A$5:$A$2000,$A56,Måned!$C$5:$C$2000,MONTH(AJ$5+3))=0,"",MAX(1,MIN(5,SUMIFS(Måned!$H$5:$H$2000,Måned!$A$5:$A$2000,$A56,Måned!$C$5:$C$2000,MONTH(AJ$5+3))+SUMPRODUCT((Vinduer!$A$5:$A$300=$A56)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6" s="19">
        <f>IF($A56="","",IF(COUNTIFS(Måned!$A$5:$A$2000,$A56,Måned!$C$5:$C$2000,MONTH(AK$5+3))=0,"",MAX(1,MIN(5,SUMIFS(Måned!$H$5:$H$2000,Måned!$A$5:$A$2000,$A56,Måned!$C$5:$C$2000,MONTH(AK$5+3))+SUMPRODUCT((Vinduer!$A$5:$A$300=$A56)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6" s="19">
        <f>IF($A56="","",IF(COUNTIFS(Måned!$A$5:$A$2000,$A56,Måned!$C$5:$C$2000,MONTH(AL$5+3))=0,"",MAX(1,MIN(5,SUMIFS(Måned!$H$5:$H$2000,Måned!$A$5:$A$2000,$A56,Måned!$C$5:$C$2000,MONTH(AL$5+3))+SUMPRODUCT((Vinduer!$A$5:$A$300=$A56)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6" s="19">
        <f>IF($A56="","",IF(COUNTIFS(Måned!$A$5:$A$2000,$A56,Måned!$C$5:$C$2000,MONTH(AM$5+3))=0,"",MAX(1,MIN(5,SUMIFS(Måned!$H$5:$H$2000,Måned!$A$5:$A$2000,$A56,Måned!$C$5:$C$2000,MONTH(AM$5+3))+SUMPRODUCT((Vinduer!$A$5:$A$300=$A56)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6" s="19">
        <f>IF($A56="","",IF(COUNTIFS(Måned!$A$5:$A$2000,$A56,Måned!$C$5:$C$2000,MONTH(AN$5+3))=0,"",MAX(1,MIN(5,SUMIFS(Måned!$H$5:$H$2000,Måned!$A$5:$A$2000,$A56,Måned!$C$5:$C$2000,MONTH(AN$5+3))+SUMPRODUCT((Vinduer!$A$5:$A$300=$A56)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6" s="19">
        <f>IF($A56="","",IF(COUNTIFS(Måned!$A$5:$A$2000,$A56,Måned!$C$5:$C$2000,MONTH(AO$5+3))=0,"",MAX(1,MIN(5,SUMIFS(Måned!$H$5:$H$2000,Måned!$A$5:$A$2000,$A56,Måned!$C$5:$C$2000,MONTH(AO$5+3))+SUMPRODUCT((Vinduer!$A$5:$A$300=$A56)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6" s="19">
        <f>IF($A56="","",IF(COUNTIFS(Måned!$A$5:$A$2000,$A56,Måned!$C$5:$C$2000,MONTH(AP$5+3))=0,"",MAX(1,MIN(5,SUMIFS(Måned!$H$5:$H$2000,Måned!$A$5:$A$2000,$A56,Måned!$C$5:$C$2000,MONTH(AP$5+3))+SUMPRODUCT((Vinduer!$A$5:$A$300=$A56)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6" s="19">
        <f>IF($A56="","",IF(COUNTIFS(Måned!$A$5:$A$2000,$A56,Måned!$C$5:$C$2000,MONTH(AQ$5+3))=0,"",MAX(1,MIN(5,SUMIFS(Måned!$H$5:$H$2000,Måned!$A$5:$A$2000,$A56,Måned!$C$5:$C$2000,MONTH(AQ$5+3))+SUMPRODUCT((Vinduer!$A$5:$A$300=$A56)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6" s="19">
        <f>IF($A56="","",IF(COUNTIFS(Måned!$A$5:$A$2000,$A56,Måned!$C$5:$C$2000,MONTH(AR$5+3))=0,"",MAX(1,MIN(5,SUMIFS(Måned!$H$5:$H$2000,Måned!$A$5:$A$2000,$A56,Måned!$C$5:$C$2000,MONTH(AR$5+3))+SUMPRODUCT((Vinduer!$A$5:$A$300=$A56)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6" s="19">
        <f>IF($A56="","",IF(COUNTIFS(Måned!$A$5:$A$2000,$A56,Måned!$C$5:$C$2000,MONTH(AS$5+3))=0,"",MAX(1,MIN(5,SUMIFS(Måned!$H$5:$H$2000,Måned!$A$5:$A$2000,$A56,Måned!$C$5:$C$2000,MONTH(AS$5+3))+SUMPRODUCT((Vinduer!$A$5:$A$300=$A56)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6" s="19">
        <f>IF($A56="","",IF(COUNTIFS(Måned!$A$5:$A$2000,$A56,Måned!$C$5:$C$2000,MONTH(AT$5+3))=0,"",MAX(1,MIN(5,SUMIFS(Måned!$H$5:$H$2000,Måned!$A$5:$A$2000,$A56,Måned!$C$5:$C$2000,MONTH(AT$5+3))+SUMPRODUCT((Vinduer!$A$5:$A$300=$A56)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6" s="19">
        <f>IF($A56="","",IF(COUNTIFS(Måned!$A$5:$A$2000,$A56,Måned!$C$5:$C$2000,MONTH(AU$5+3))=0,"",MAX(1,MIN(5,SUMIFS(Måned!$H$5:$H$2000,Måned!$A$5:$A$2000,$A56,Måned!$C$5:$C$2000,MONTH(AU$5+3))+SUMPRODUCT((Vinduer!$A$5:$A$300=$A56)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6" s="19">
        <f>IF($A56="","",IF(COUNTIFS(Måned!$A$5:$A$2000,$A56,Måned!$C$5:$C$2000,MONTH(AV$5+3))=0,"",MAX(1,MIN(5,SUMIFS(Måned!$H$5:$H$2000,Måned!$A$5:$A$2000,$A56,Måned!$C$5:$C$2000,MONTH(AV$5+3))+SUMPRODUCT((Vinduer!$A$5:$A$300=$A56)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6" s="19">
        <f>IF($A56="","",IF(COUNTIFS(Måned!$A$5:$A$2000,$A56,Måned!$C$5:$C$2000,MONTH(AW$5+3))=0,"",MAX(1,MIN(5,SUMIFS(Måned!$H$5:$H$2000,Måned!$A$5:$A$2000,$A56,Måned!$C$5:$C$2000,MONTH(AW$5+3))+SUMPRODUCT((Vinduer!$A$5:$A$300=$A56)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6" s="19">
        <f>IF($A56="","",IF(COUNTIFS(Måned!$A$5:$A$2000,$A56,Måned!$C$5:$C$2000,MONTH(AX$5+3))=0,"",MAX(1,MIN(5,SUMIFS(Måned!$H$5:$H$2000,Måned!$A$5:$A$2000,$A56,Måned!$C$5:$C$2000,MONTH(AX$5+3))+SUMPRODUCT((Vinduer!$A$5:$A$300=$A56)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6" s="19">
        <f>IF($A56="","",IF(COUNTIFS(Måned!$A$5:$A$2000,$A56,Måned!$C$5:$C$2000,MONTH(AY$5+3))=0,"",MAX(1,MIN(5,SUMIFS(Måned!$H$5:$H$2000,Måned!$A$5:$A$2000,$A56,Måned!$C$5:$C$2000,MONTH(AY$5+3))+SUMPRODUCT((Vinduer!$A$5:$A$300=$A56)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6" s="19">
        <f>IF($A56="","",IF(COUNTIFS(Måned!$A$5:$A$2000,$A56,Måned!$C$5:$C$2000,MONTH(AZ$5+3))=0,"",MAX(1,MIN(5,SUMIFS(Måned!$H$5:$H$2000,Måned!$A$5:$A$2000,$A56,Måned!$C$5:$C$2000,MONTH(AZ$5+3))+SUMPRODUCT((Vinduer!$A$5:$A$300=$A56)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6" s="19">
        <f>IF($A56="","",IF(COUNTIFS(Måned!$A$5:$A$2000,$A56,Måned!$C$5:$C$2000,MONTH(BA$5+3))=0,"",MAX(1,MIN(5,SUMIFS(Måned!$H$5:$H$2000,Måned!$A$5:$A$2000,$A56,Måned!$C$5:$C$2000,MONTH(BA$5+3))+SUMPRODUCT((Vinduer!$A$5:$A$300=$A56)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6" s="19">
        <f>IF($A56="","",IF(COUNTIFS(Måned!$A$5:$A$2000,$A56,Måned!$C$5:$C$2000,MONTH(BB$5+3))=0,"",MAX(1,MIN(5,SUMIFS(Måned!$H$5:$H$2000,Måned!$A$5:$A$2000,$A56,Måned!$C$5:$C$2000,MONTH(BB$5+3))+SUMPRODUCT((Vinduer!$A$5:$A$300=$A56)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6" s="19">
        <f>IF($A56="","",IF(COUNTIFS(Måned!$A$5:$A$2000,$A56,Måned!$C$5:$C$2000,MONTH(BC$5+3))=0,"",MAX(1,MIN(5,SUMIFS(Måned!$H$5:$H$2000,Måned!$A$5:$A$2000,$A56,Måned!$C$5:$C$2000,MONTH(BC$5+3))+SUMPRODUCT((Vinduer!$A$5:$A$300=$A56)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6" s="19">
        <f>IF($A56="","",IF(COUNTIFS(Måned!$A$5:$A$2000,$A56,Måned!$C$5:$C$2000,MONTH(BD$5+3))=0,"",MAX(1,MIN(5,SUMIFS(Måned!$H$5:$H$2000,Måned!$A$5:$A$2000,$A56,Måned!$C$5:$C$2000,MONTH(BD$5+3))+SUMPRODUCT((Vinduer!$A$5:$A$300=$A56)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6" s="19">
        <f>IF($A56="","",IF(COUNTIFS(Måned!$A$5:$A$2000,$A56,Måned!$C$5:$C$2000,MONTH(BE$5+3))=0,"",MAX(1,MIN(5,SUMIFS(Måned!$H$5:$H$2000,Måned!$A$5:$A$2000,$A56,Måned!$C$5:$C$2000,MONTH(BE$5+3))+SUMPRODUCT((Vinduer!$A$5:$A$300=$A56)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7">
      <c r="A57" s="5">
        <f>IF(Destinasjoner!A53="","",Destinasjoner!A53)</f>
        <v/>
      </c>
      <c r="B57" s="5">
        <f>IF(A57="","",Destinasjoner!E53)</f>
        <v/>
      </c>
      <c r="C57" s="5">
        <f>IF(A57="","",Destinasjoner!B53)</f>
        <v/>
      </c>
      <c r="D57" s="17">
        <f>IFERROR(SUMIFS(F57:BE57,$F$7:$BE$7,"x")/COUNTIFS($F$7:$BE$7,"x",F57:BE57,"&gt;0"),"")</f>
        <v/>
      </c>
      <c r="E57" s="18">
        <f>IF(D57="","",_xlfn.MINIFS(F57:BE57,$F$7:$BE$7,"x",F57:BE57,"&gt;0"))</f>
        <v/>
      </c>
      <c r="F57" s="19">
        <f>IF($A57="","",IF(COUNTIFS(Måned!$A$5:$A$2000,$A57,Måned!$C$5:$C$2000,MONTH(F$5+3))=0,"",MAX(1,MIN(5,SUMIFS(Måned!$H$5:$H$2000,Måned!$A$5:$A$2000,$A57,Måned!$C$5:$C$2000,MONTH(F$5+3))+SUMPRODUCT((Vinduer!$A$5:$A$300=$A57)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7" s="19">
        <f>IF($A57="","",IF(COUNTIFS(Måned!$A$5:$A$2000,$A57,Måned!$C$5:$C$2000,MONTH(G$5+3))=0,"",MAX(1,MIN(5,SUMIFS(Måned!$H$5:$H$2000,Måned!$A$5:$A$2000,$A57,Måned!$C$5:$C$2000,MONTH(G$5+3))+SUMPRODUCT((Vinduer!$A$5:$A$300=$A57)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7" s="19">
        <f>IF($A57="","",IF(COUNTIFS(Måned!$A$5:$A$2000,$A57,Måned!$C$5:$C$2000,MONTH(H$5+3))=0,"",MAX(1,MIN(5,SUMIFS(Måned!$H$5:$H$2000,Måned!$A$5:$A$2000,$A57,Måned!$C$5:$C$2000,MONTH(H$5+3))+SUMPRODUCT((Vinduer!$A$5:$A$300=$A57)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7" s="19">
        <f>IF($A57="","",IF(COUNTIFS(Måned!$A$5:$A$2000,$A57,Måned!$C$5:$C$2000,MONTH(I$5+3))=0,"",MAX(1,MIN(5,SUMIFS(Måned!$H$5:$H$2000,Måned!$A$5:$A$2000,$A57,Måned!$C$5:$C$2000,MONTH(I$5+3))+SUMPRODUCT((Vinduer!$A$5:$A$300=$A57)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7" s="19">
        <f>IF($A57="","",IF(COUNTIFS(Måned!$A$5:$A$2000,$A57,Måned!$C$5:$C$2000,MONTH(J$5+3))=0,"",MAX(1,MIN(5,SUMIFS(Måned!$H$5:$H$2000,Måned!$A$5:$A$2000,$A57,Måned!$C$5:$C$2000,MONTH(J$5+3))+SUMPRODUCT((Vinduer!$A$5:$A$300=$A57)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7" s="19">
        <f>IF($A57="","",IF(COUNTIFS(Måned!$A$5:$A$2000,$A57,Måned!$C$5:$C$2000,MONTH(K$5+3))=0,"",MAX(1,MIN(5,SUMIFS(Måned!$H$5:$H$2000,Måned!$A$5:$A$2000,$A57,Måned!$C$5:$C$2000,MONTH(K$5+3))+SUMPRODUCT((Vinduer!$A$5:$A$300=$A57)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7" s="19">
        <f>IF($A57="","",IF(COUNTIFS(Måned!$A$5:$A$2000,$A57,Måned!$C$5:$C$2000,MONTH(L$5+3))=0,"",MAX(1,MIN(5,SUMIFS(Måned!$H$5:$H$2000,Måned!$A$5:$A$2000,$A57,Måned!$C$5:$C$2000,MONTH(L$5+3))+SUMPRODUCT((Vinduer!$A$5:$A$300=$A57)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7" s="19">
        <f>IF($A57="","",IF(COUNTIFS(Måned!$A$5:$A$2000,$A57,Måned!$C$5:$C$2000,MONTH(M$5+3))=0,"",MAX(1,MIN(5,SUMIFS(Måned!$H$5:$H$2000,Måned!$A$5:$A$2000,$A57,Måned!$C$5:$C$2000,MONTH(M$5+3))+SUMPRODUCT((Vinduer!$A$5:$A$300=$A57)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7" s="19">
        <f>IF($A57="","",IF(COUNTIFS(Måned!$A$5:$A$2000,$A57,Måned!$C$5:$C$2000,MONTH(N$5+3))=0,"",MAX(1,MIN(5,SUMIFS(Måned!$H$5:$H$2000,Måned!$A$5:$A$2000,$A57,Måned!$C$5:$C$2000,MONTH(N$5+3))+SUMPRODUCT((Vinduer!$A$5:$A$300=$A57)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7" s="19">
        <f>IF($A57="","",IF(COUNTIFS(Måned!$A$5:$A$2000,$A57,Måned!$C$5:$C$2000,MONTH(O$5+3))=0,"",MAX(1,MIN(5,SUMIFS(Måned!$H$5:$H$2000,Måned!$A$5:$A$2000,$A57,Måned!$C$5:$C$2000,MONTH(O$5+3))+SUMPRODUCT((Vinduer!$A$5:$A$300=$A57)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7" s="19">
        <f>IF($A57="","",IF(COUNTIFS(Måned!$A$5:$A$2000,$A57,Måned!$C$5:$C$2000,MONTH(P$5+3))=0,"",MAX(1,MIN(5,SUMIFS(Måned!$H$5:$H$2000,Måned!$A$5:$A$2000,$A57,Måned!$C$5:$C$2000,MONTH(P$5+3))+SUMPRODUCT((Vinduer!$A$5:$A$300=$A57)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7" s="19">
        <f>IF($A57="","",IF(COUNTIFS(Måned!$A$5:$A$2000,$A57,Måned!$C$5:$C$2000,MONTH(Q$5+3))=0,"",MAX(1,MIN(5,SUMIFS(Måned!$H$5:$H$2000,Måned!$A$5:$A$2000,$A57,Måned!$C$5:$C$2000,MONTH(Q$5+3))+SUMPRODUCT((Vinduer!$A$5:$A$300=$A57)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7" s="19">
        <f>IF($A57="","",IF(COUNTIFS(Måned!$A$5:$A$2000,$A57,Måned!$C$5:$C$2000,MONTH(R$5+3))=0,"",MAX(1,MIN(5,SUMIFS(Måned!$H$5:$H$2000,Måned!$A$5:$A$2000,$A57,Måned!$C$5:$C$2000,MONTH(R$5+3))+SUMPRODUCT((Vinduer!$A$5:$A$300=$A57)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7" s="19">
        <f>IF($A57="","",IF(COUNTIFS(Måned!$A$5:$A$2000,$A57,Måned!$C$5:$C$2000,MONTH(S$5+3))=0,"",MAX(1,MIN(5,SUMIFS(Måned!$H$5:$H$2000,Måned!$A$5:$A$2000,$A57,Måned!$C$5:$C$2000,MONTH(S$5+3))+SUMPRODUCT((Vinduer!$A$5:$A$300=$A57)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7" s="19">
        <f>IF($A57="","",IF(COUNTIFS(Måned!$A$5:$A$2000,$A57,Måned!$C$5:$C$2000,MONTH(T$5+3))=0,"",MAX(1,MIN(5,SUMIFS(Måned!$H$5:$H$2000,Måned!$A$5:$A$2000,$A57,Måned!$C$5:$C$2000,MONTH(T$5+3))+SUMPRODUCT((Vinduer!$A$5:$A$300=$A57)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7" s="19">
        <f>IF($A57="","",IF(COUNTIFS(Måned!$A$5:$A$2000,$A57,Måned!$C$5:$C$2000,MONTH(U$5+3))=0,"",MAX(1,MIN(5,SUMIFS(Måned!$H$5:$H$2000,Måned!$A$5:$A$2000,$A57,Måned!$C$5:$C$2000,MONTH(U$5+3))+SUMPRODUCT((Vinduer!$A$5:$A$300=$A57)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7" s="19">
        <f>IF($A57="","",IF(COUNTIFS(Måned!$A$5:$A$2000,$A57,Måned!$C$5:$C$2000,MONTH(V$5+3))=0,"",MAX(1,MIN(5,SUMIFS(Måned!$H$5:$H$2000,Måned!$A$5:$A$2000,$A57,Måned!$C$5:$C$2000,MONTH(V$5+3))+SUMPRODUCT((Vinduer!$A$5:$A$300=$A57)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7" s="19">
        <f>IF($A57="","",IF(COUNTIFS(Måned!$A$5:$A$2000,$A57,Måned!$C$5:$C$2000,MONTH(W$5+3))=0,"",MAX(1,MIN(5,SUMIFS(Måned!$H$5:$H$2000,Måned!$A$5:$A$2000,$A57,Måned!$C$5:$C$2000,MONTH(W$5+3))+SUMPRODUCT((Vinduer!$A$5:$A$300=$A57)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7" s="19">
        <f>IF($A57="","",IF(COUNTIFS(Måned!$A$5:$A$2000,$A57,Måned!$C$5:$C$2000,MONTH(X$5+3))=0,"",MAX(1,MIN(5,SUMIFS(Måned!$H$5:$H$2000,Måned!$A$5:$A$2000,$A57,Måned!$C$5:$C$2000,MONTH(X$5+3))+SUMPRODUCT((Vinduer!$A$5:$A$300=$A57)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7" s="19">
        <f>IF($A57="","",IF(COUNTIFS(Måned!$A$5:$A$2000,$A57,Måned!$C$5:$C$2000,MONTH(Y$5+3))=0,"",MAX(1,MIN(5,SUMIFS(Måned!$H$5:$H$2000,Måned!$A$5:$A$2000,$A57,Måned!$C$5:$C$2000,MONTH(Y$5+3))+SUMPRODUCT((Vinduer!$A$5:$A$300=$A57)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7" s="19">
        <f>IF($A57="","",IF(COUNTIFS(Måned!$A$5:$A$2000,$A57,Måned!$C$5:$C$2000,MONTH(Z$5+3))=0,"",MAX(1,MIN(5,SUMIFS(Måned!$H$5:$H$2000,Måned!$A$5:$A$2000,$A57,Måned!$C$5:$C$2000,MONTH(Z$5+3))+SUMPRODUCT((Vinduer!$A$5:$A$300=$A57)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7" s="19">
        <f>IF($A57="","",IF(COUNTIFS(Måned!$A$5:$A$2000,$A57,Måned!$C$5:$C$2000,MONTH(AA$5+3))=0,"",MAX(1,MIN(5,SUMIFS(Måned!$H$5:$H$2000,Måned!$A$5:$A$2000,$A57,Måned!$C$5:$C$2000,MONTH(AA$5+3))+SUMPRODUCT((Vinduer!$A$5:$A$300=$A57)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7" s="19">
        <f>IF($A57="","",IF(COUNTIFS(Måned!$A$5:$A$2000,$A57,Måned!$C$5:$C$2000,MONTH(AB$5+3))=0,"",MAX(1,MIN(5,SUMIFS(Måned!$H$5:$H$2000,Måned!$A$5:$A$2000,$A57,Måned!$C$5:$C$2000,MONTH(AB$5+3))+SUMPRODUCT((Vinduer!$A$5:$A$300=$A57)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7" s="19">
        <f>IF($A57="","",IF(COUNTIFS(Måned!$A$5:$A$2000,$A57,Måned!$C$5:$C$2000,MONTH(AC$5+3))=0,"",MAX(1,MIN(5,SUMIFS(Måned!$H$5:$H$2000,Måned!$A$5:$A$2000,$A57,Måned!$C$5:$C$2000,MONTH(AC$5+3))+SUMPRODUCT((Vinduer!$A$5:$A$300=$A57)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7" s="19">
        <f>IF($A57="","",IF(COUNTIFS(Måned!$A$5:$A$2000,$A57,Måned!$C$5:$C$2000,MONTH(AD$5+3))=0,"",MAX(1,MIN(5,SUMIFS(Måned!$H$5:$H$2000,Måned!$A$5:$A$2000,$A57,Måned!$C$5:$C$2000,MONTH(AD$5+3))+SUMPRODUCT((Vinduer!$A$5:$A$300=$A57)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7" s="19">
        <f>IF($A57="","",IF(COUNTIFS(Måned!$A$5:$A$2000,$A57,Måned!$C$5:$C$2000,MONTH(AE$5+3))=0,"",MAX(1,MIN(5,SUMIFS(Måned!$H$5:$H$2000,Måned!$A$5:$A$2000,$A57,Måned!$C$5:$C$2000,MONTH(AE$5+3))+SUMPRODUCT((Vinduer!$A$5:$A$300=$A57)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7" s="19">
        <f>IF($A57="","",IF(COUNTIFS(Måned!$A$5:$A$2000,$A57,Måned!$C$5:$C$2000,MONTH(AF$5+3))=0,"",MAX(1,MIN(5,SUMIFS(Måned!$H$5:$H$2000,Måned!$A$5:$A$2000,$A57,Måned!$C$5:$C$2000,MONTH(AF$5+3))+SUMPRODUCT((Vinduer!$A$5:$A$300=$A57)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7" s="19">
        <f>IF($A57="","",IF(COUNTIFS(Måned!$A$5:$A$2000,$A57,Måned!$C$5:$C$2000,MONTH(AG$5+3))=0,"",MAX(1,MIN(5,SUMIFS(Måned!$H$5:$H$2000,Måned!$A$5:$A$2000,$A57,Måned!$C$5:$C$2000,MONTH(AG$5+3))+SUMPRODUCT((Vinduer!$A$5:$A$300=$A57)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7" s="19">
        <f>IF($A57="","",IF(COUNTIFS(Måned!$A$5:$A$2000,$A57,Måned!$C$5:$C$2000,MONTH(AH$5+3))=0,"",MAX(1,MIN(5,SUMIFS(Måned!$H$5:$H$2000,Måned!$A$5:$A$2000,$A57,Måned!$C$5:$C$2000,MONTH(AH$5+3))+SUMPRODUCT((Vinduer!$A$5:$A$300=$A57)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7" s="19">
        <f>IF($A57="","",IF(COUNTIFS(Måned!$A$5:$A$2000,$A57,Måned!$C$5:$C$2000,MONTH(AI$5+3))=0,"",MAX(1,MIN(5,SUMIFS(Måned!$H$5:$H$2000,Måned!$A$5:$A$2000,$A57,Måned!$C$5:$C$2000,MONTH(AI$5+3))+SUMPRODUCT((Vinduer!$A$5:$A$300=$A57)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7" s="19">
        <f>IF($A57="","",IF(COUNTIFS(Måned!$A$5:$A$2000,$A57,Måned!$C$5:$C$2000,MONTH(AJ$5+3))=0,"",MAX(1,MIN(5,SUMIFS(Måned!$H$5:$H$2000,Måned!$A$5:$A$2000,$A57,Måned!$C$5:$C$2000,MONTH(AJ$5+3))+SUMPRODUCT((Vinduer!$A$5:$A$300=$A57)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7" s="19">
        <f>IF($A57="","",IF(COUNTIFS(Måned!$A$5:$A$2000,$A57,Måned!$C$5:$C$2000,MONTH(AK$5+3))=0,"",MAX(1,MIN(5,SUMIFS(Måned!$H$5:$H$2000,Måned!$A$5:$A$2000,$A57,Måned!$C$5:$C$2000,MONTH(AK$5+3))+SUMPRODUCT((Vinduer!$A$5:$A$300=$A57)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7" s="19">
        <f>IF($A57="","",IF(COUNTIFS(Måned!$A$5:$A$2000,$A57,Måned!$C$5:$C$2000,MONTH(AL$5+3))=0,"",MAX(1,MIN(5,SUMIFS(Måned!$H$5:$H$2000,Måned!$A$5:$A$2000,$A57,Måned!$C$5:$C$2000,MONTH(AL$5+3))+SUMPRODUCT((Vinduer!$A$5:$A$300=$A57)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7" s="19">
        <f>IF($A57="","",IF(COUNTIFS(Måned!$A$5:$A$2000,$A57,Måned!$C$5:$C$2000,MONTH(AM$5+3))=0,"",MAX(1,MIN(5,SUMIFS(Måned!$H$5:$H$2000,Måned!$A$5:$A$2000,$A57,Måned!$C$5:$C$2000,MONTH(AM$5+3))+SUMPRODUCT((Vinduer!$A$5:$A$300=$A57)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7" s="19">
        <f>IF($A57="","",IF(COUNTIFS(Måned!$A$5:$A$2000,$A57,Måned!$C$5:$C$2000,MONTH(AN$5+3))=0,"",MAX(1,MIN(5,SUMIFS(Måned!$H$5:$H$2000,Måned!$A$5:$A$2000,$A57,Måned!$C$5:$C$2000,MONTH(AN$5+3))+SUMPRODUCT((Vinduer!$A$5:$A$300=$A57)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7" s="19">
        <f>IF($A57="","",IF(COUNTIFS(Måned!$A$5:$A$2000,$A57,Måned!$C$5:$C$2000,MONTH(AO$5+3))=0,"",MAX(1,MIN(5,SUMIFS(Måned!$H$5:$H$2000,Måned!$A$5:$A$2000,$A57,Måned!$C$5:$C$2000,MONTH(AO$5+3))+SUMPRODUCT((Vinduer!$A$5:$A$300=$A57)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7" s="19">
        <f>IF($A57="","",IF(COUNTIFS(Måned!$A$5:$A$2000,$A57,Måned!$C$5:$C$2000,MONTH(AP$5+3))=0,"",MAX(1,MIN(5,SUMIFS(Måned!$H$5:$H$2000,Måned!$A$5:$A$2000,$A57,Måned!$C$5:$C$2000,MONTH(AP$5+3))+SUMPRODUCT((Vinduer!$A$5:$A$300=$A57)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7" s="19">
        <f>IF($A57="","",IF(COUNTIFS(Måned!$A$5:$A$2000,$A57,Måned!$C$5:$C$2000,MONTH(AQ$5+3))=0,"",MAX(1,MIN(5,SUMIFS(Måned!$H$5:$H$2000,Måned!$A$5:$A$2000,$A57,Måned!$C$5:$C$2000,MONTH(AQ$5+3))+SUMPRODUCT((Vinduer!$A$5:$A$300=$A57)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7" s="19">
        <f>IF($A57="","",IF(COUNTIFS(Måned!$A$5:$A$2000,$A57,Måned!$C$5:$C$2000,MONTH(AR$5+3))=0,"",MAX(1,MIN(5,SUMIFS(Måned!$H$5:$H$2000,Måned!$A$5:$A$2000,$A57,Måned!$C$5:$C$2000,MONTH(AR$5+3))+SUMPRODUCT((Vinduer!$A$5:$A$300=$A57)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7" s="19">
        <f>IF($A57="","",IF(COUNTIFS(Måned!$A$5:$A$2000,$A57,Måned!$C$5:$C$2000,MONTH(AS$5+3))=0,"",MAX(1,MIN(5,SUMIFS(Måned!$H$5:$H$2000,Måned!$A$5:$A$2000,$A57,Måned!$C$5:$C$2000,MONTH(AS$5+3))+SUMPRODUCT((Vinduer!$A$5:$A$300=$A57)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7" s="19">
        <f>IF($A57="","",IF(COUNTIFS(Måned!$A$5:$A$2000,$A57,Måned!$C$5:$C$2000,MONTH(AT$5+3))=0,"",MAX(1,MIN(5,SUMIFS(Måned!$H$5:$H$2000,Måned!$A$5:$A$2000,$A57,Måned!$C$5:$C$2000,MONTH(AT$5+3))+SUMPRODUCT((Vinduer!$A$5:$A$300=$A57)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7" s="19">
        <f>IF($A57="","",IF(COUNTIFS(Måned!$A$5:$A$2000,$A57,Måned!$C$5:$C$2000,MONTH(AU$5+3))=0,"",MAX(1,MIN(5,SUMIFS(Måned!$H$5:$H$2000,Måned!$A$5:$A$2000,$A57,Måned!$C$5:$C$2000,MONTH(AU$5+3))+SUMPRODUCT((Vinduer!$A$5:$A$300=$A57)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7" s="19">
        <f>IF($A57="","",IF(COUNTIFS(Måned!$A$5:$A$2000,$A57,Måned!$C$5:$C$2000,MONTH(AV$5+3))=0,"",MAX(1,MIN(5,SUMIFS(Måned!$H$5:$H$2000,Måned!$A$5:$A$2000,$A57,Måned!$C$5:$C$2000,MONTH(AV$5+3))+SUMPRODUCT((Vinduer!$A$5:$A$300=$A57)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7" s="19">
        <f>IF($A57="","",IF(COUNTIFS(Måned!$A$5:$A$2000,$A57,Måned!$C$5:$C$2000,MONTH(AW$5+3))=0,"",MAX(1,MIN(5,SUMIFS(Måned!$H$5:$H$2000,Måned!$A$5:$A$2000,$A57,Måned!$C$5:$C$2000,MONTH(AW$5+3))+SUMPRODUCT((Vinduer!$A$5:$A$300=$A57)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7" s="19">
        <f>IF($A57="","",IF(COUNTIFS(Måned!$A$5:$A$2000,$A57,Måned!$C$5:$C$2000,MONTH(AX$5+3))=0,"",MAX(1,MIN(5,SUMIFS(Måned!$H$5:$H$2000,Måned!$A$5:$A$2000,$A57,Måned!$C$5:$C$2000,MONTH(AX$5+3))+SUMPRODUCT((Vinduer!$A$5:$A$300=$A57)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7" s="19">
        <f>IF($A57="","",IF(COUNTIFS(Måned!$A$5:$A$2000,$A57,Måned!$C$5:$C$2000,MONTH(AY$5+3))=0,"",MAX(1,MIN(5,SUMIFS(Måned!$H$5:$H$2000,Måned!$A$5:$A$2000,$A57,Måned!$C$5:$C$2000,MONTH(AY$5+3))+SUMPRODUCT((Vinduer!$A$5:$A$300=$A57)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7" s="19">
        <f>IF($A57="","",IF(COUNTIFS(Måned!$A$5:$A$2000,$A57,Måned!$C$5:$C$2000,MONTH(AZ$5+3))=0,"",MAX(1,MIN(5,SUMIFS(Måned!$H$5:$H$2000,Måned!$A$5:$A$2000,$A57,Måned!$C$5:$C$2000,MONTH(AZ$5+3))+SUMPRODUCT((Vinduer!$A$5:$A$300=$A57)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7" s="19">
        <f>IF($A57="","",IF(COUNTIFS(Måned!$A$5:$A$2000,$A57,Måned!$C$5:$C$2000,MONTH(BA$5+3))=0,"",MAX(1,MIN(5,SUMIFS(Måned!$H$5:$H$2000,Måned!$A$5:$A$2000,$A57,Måned!$C$5:$C$2000,MONTH(BA$5+3))+SUMPRODUCT((Vinduer!$A$5:$A$300=$A57)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7" s="19">
        <f>IF($A57="","",IF(COUNTIFS(Måned!$A$5:$A$2000,$A57,Måned!$C$5:$C$2000,MONTH(BB$5+3))=0,"",MAX(1,MIN(5,SUMIFS(Måned!$H$5:$H$2000,Måned!$A$5:$A$2000,$A57,Måned!$C$5:$C$2000,MONTH(BB$5+3))+SUMPRODUCT((Vinduer!$A$5:$A$300=$A57)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7" s="19">
        <f>IF($A57="","",IF(COUNTIFS(Måned!$A$5:$A$2000,$A57,Måned!$C$5:$C$2000,MONTH(BC$5+3))=0,"",MAX(1,MIN(5,SUMIFS(Måned!$H$5:$H$2000,Måned!$A$5:$A$2000,$A57,Måned!$C$5:$C$2000,MONTH(BC$5+3))+SUMPRODUCT((Vinduer!$A$5:$A$300=$A57)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7" s="19">
        <f>IF($A57="","",IF(COUNTIFS(Måned!$A$5:$A$2000,$A57,Måned!$C$5:$C$2000,MONTH(BD$5+3))=0,"",MAX(1,MIN(5,SUMIFS(Måned!$H$5:$H$2000,Måned!$A$5:$A$2000,$A57,Måned!$C$5:$C$2000,MONTH(BD$5+3))+SUMPRODUCT((Vinduer!$A$5:$A$300=$A57)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7" s="19">
        <f>IF($A57="","",IF(COUNTIFS(Måned!$A$5:$A$2000,$A57,Måned!$C$5:$C$2000,MONTH(BE$5+3))=0,"",MAX(1,MIN(5,SUMIFS(Måned!$H$5:$H$2000,Måned!$A$5:$A$2000,$A57,Måned!$C$5:$C$2000,MONTH(BE$5+3))+SUMPRODUCT((Vinduer!$A$5:$A$300=$A57)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8">
      <c r="A58" s="5">
        <f>IF(Destinasjoner!A54="","",Destinasjoner!A54)</f>
        <v/>
      </c>
      <c r="B58" s="5">
        <f>IF(A58="","",Destinasjoner!E54)</f>
        <v/>
      </c>
      <c r="C58" s="5">
        <f>IF(A58="","",Destinasjoner!B54)</f>
        <v/>
      </c>
      <c r="D58" s="17">
        <f>IFERROR(SUMIFS(F58:BE58,$F$7:$BE$7,"x")/COUNTIFS($F$7:$BE$7,"x",F58:BE58,"&gt;0"),"")</f>
        <v/>
      </c>
      <c r="E58" s="18">
        <f>IF(D58="","",_xlfn.MINIFS(F58:BE58,$F$7:$BE$7,"x",F58:BE58,"&gt;0"))</f>
        <v/>
      </c>
      <c r="F58" s="19">
        <f>IF($A58="","",IF(COUNTIFS(Måned!$A$5:$A$2000,$A58,Måned!$C$5:$C$2000,MONTH(F$5+3))=0,"",MAX(1,MIN(5,SUMIFS(Måned!$H$5:$H$2000,Måned!$A$5:$A$2000,$A58,Måned!$C$5:$C$2000,MONTH(F$5+3))+SUMPRODUCT((Vinduer!$A$5:$A$300=$A58)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8" s="19">
        <f>IF($A58="","",IF(COUNTIFS(Måned!$A$5:$A$2000,$A58,Måned!$C$5:$C$2000,MONTH(G$5+3))=0,"",MAX(1,MIN(5,SUMIFS(Måned!$H$5:$H$2000,Måned!$A$5:$A$2000,$A58,Måned!$C$5:$C$2000,MONTH(G$5+3))+SUMPRODUCT((Vinduer!$A$5:$A$300=$A58)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8" s="19">
        <f>IF($A58="","",IF(COUNTIFS(Måned!$A$5:$A$2000,$A58,Måned!$C$5:$C$2000,MONTH(H$5+3))=0,"",MAX(1,MIN(5,SUMIFS(Måned!$H$5:$H$2000,Måned!$A$5:$A$2000,$A58,Måned!$C$5:$C$2000,MONTH(H$5+3))+SUMPRODUCT((Vinduer!$A$5:$A$300=$A58)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8" s="19">
        <f>IF($A58="","",IF(COUNTIFS(Måned!$A$5:$A$2000,$A58,Måned!$C$5:$C$2000,MONTH(I$5+3))=0,"",MAX(1,MIN(5,SUMIFS(Måned!$H$5:$H$2000,Måned!$A$5:$A$2000,$A58,Måned!$C$5:$C$2000,MONTH(I$5+3))+SUMPRODUCT((Vinduer!$A$5:$A$300=$A58)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8" s="19">
        <f>IF($A58="","",IF(COUNTIFS(Måned!$A$5:$A$2000,$A58,Måned!$C$5:$C$2000,MONTH(J$5+3))=0,"",MAX(1,MIN(5,SUMIFS(Måned!$H$5:$H$2000,Måned!$A$5:$A$2000,$A58,Måned!$C$5:$C$2000,MONTH(J$5+3))+SUMPRODUCT((Vinduer!$A$5:$A$300=$A58)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8" s="19">
        <f>IF($A58="","",IF(COUNTIFS(Måned!$A$5:$A$2000,$A58,Måned!$C$5:$C$2000,MONTH(K$5+3))=0,"",MAX(1,MIN(5,SUMIFS(Måned!$H$5:$H$2000,Måned!$A$5:$A$2000,$A58,Måned!$C$5:$C$2000,MONTH(K$5+3))+SUMPRODUCT((Vinduer!$A$5:$A$300=$A58)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8" s="19">
        <f>IF($A58="","",IF(COUNTIFS(Måned!$A$5:$A$2000,$A58,Måned!$C$5:$C$2000,MONTH(L$5+3))=0,"",MAX(1,MIN(5,SUMIFS(Måned!$H$5:$H$2000,Måned!$A$5:$A$2000,$A58,Måned!$C$5:$C$2000,MONTH(L$5+3))+SUMPRODUCT((Vinduer!$A$5:$A$300=$A58)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8" s="19">
        <f>IF($A58="","",IF(COUNTIFS(Måned!$A$5:$A$2000,$A58,Måned!$C$5:$C$2000,MONTH(M$5+3))=0,"",MAX(1,MIN(5,SUMIFS(Måned!$H$5:$H$2000,Måned!$A$5:$A$2000,$A58,Måned!$C$5:$C$2000,MONTH(M$5+3))+SUMPRODUCT((Vinduer!$A$5:$A$300=$A58)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8" s="19">
        <f>IF($A58="","",IF(COUNTIFS(Måned!$A$5:$A$2000,$A58,Måned!$C$5:$C$2000,MONTH(N$5+3))=0,"",MAX(1,MIN(5,SUMIFS(Måned!$H$5:$H$2000,Måned!$A$5:$A$2000,$A58,Måned!$C$5:$C$2000,MONTH(N$5+3))+SUMPRODUCT((Vinduer!$A$5:$A$300=$A58)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8" s="19">
        <f>IF($A58="","",IF(COUNTIFS(Måned!$A$5:$A$2000,$A58,Måned!$C$5:$C$2000,MONTH(O$5+3))=0,"",MAX(1,MIN(5,SUMIFS(Måned!$H$5:$H$2000,Måned!$A$5:$A$2000,$A58,Måned!$C$5:$C$2000,MONTH(O$5+3))+SUMPRODUCT((Vinduer!$A$5:$A$300=$A58)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8" s="19">
        <f>IF($A58="","",IF(COUNTIFS(Måned!$A$5:$A$2000,$A58,Måned!$C$5:$C$2000,MONTH(P$5+3))=0,"",MAX(1,MIN(5,SUMIFS(Måned!$H$5:$H$2000,Måned!$A$5:$A$2000,$A58,Måned!$C$5:$C$2000,MONTH(P$5+3))+SUMPRODUCT((Vinduer!$A$5:$A$300=$A58)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8" s="19">
        <f>IF($A58="","",IF(COUNTIFS(Måned!$A$5:$A$2000,$A58,Måned!$C$5:$C$2000,MONTH(Q$5+3))=0,"",MAX(1,MIN(5,SUMIFS(Måned!$H$5:$H$2000,Måned!$A$5:$A$2000,$A58,Måned!$C$5:$C$2000,MONTH(Q$5+3))+SUMPRODUCT((Vinduer!$A$5:$A$300=$A58)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8" s="19">
        <f>IF($A58="","",IF(COUNTIFS(Måned!$A$5:$A$2000,$A58,Måned!$C$5:$C$2000,MONTH(R$5+3))=0,"",MAX(1,MIN(5,SUMIFS(Måned!$H$5:$H$2000,Måned!$A$5:$A$2000,$A58,Måned!$C$5:$C$2000,MONTH(R$5+3))+SUMPRODUCT((Vinduer!$A$5:$A$300=$A58)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8" s="19">
        <f>IF($A58="","",IF(COUNTIFS(Måned!$A$5:$A$2000,$A58,Måned!$C$5:$C$2000,MONTH(S$5+3))=0,"",MAX(1,MIN(5,SUMIFS(Måned!$H$5:$H$2000,Måned!$A$5:$A$2000,$A58,Måned!$C$5:$C$2000,MONTH(S$5+3))+SUMPRODUCT((Vinduer!$A$5:$A$300=$A58)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8" s="19">
        <f>IF($A58="","",IF(COUNTIFS(Måned!$A$5:$A$2000,$A58,Måned!$C$5:$C$2000,MONTH(T$5+3))=0,"",MAX(1,MIN(5,SUMIFS(Måned!$H$5:$H$2000,Måned!$A$5:$A$2000,$A58,Måned!$C$5:$C$2000,MONTH(T$5+3))+SUMPRODUCT((Vinduer!$A$5:$A$300=$A58)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8" s="19">
        <f>IF($A58="","",IF(COUNTIFS(Måned!$A$5:$A$2000,$A58,Måned!$C$5:$C$2000,MONTH(U$5+3))=0,"",MAX(1,MIN(5,SUMIFS(Måned!$H$5:$H$2000,Måned!$A$5:$A$2000,$A58,Måned!$C$5:$C$2000,MONTH(U$5+3))+SUMPRODUCT((Vinduer!$A$5:$A$300=$A58)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8" s="19">
        <f>IF($A58="","",IF(COUNTIFS(Måned!$A$5:$A$2000,$A58,Måned!$C$5:$C$2000,MONTH(V$5+3))=0,"",MAX(1,MIN(5,SUMIFS(Måned!$H$5:$H$2000,Måned!$A$5:$A$2000,$A58,Måned!$C$5:$C$2000,MONTH(V$5+3))+SUMPRODUCT((Vinduer!$A$5:$A$300=$A58)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8" s="19">
        <f>IF($A58="","",IF(COUNTIFS(Måned!$A$5:$A$2000,$A58,Måned!$C$5:$C$2000,MONTH(W$5+3))=0,"",MAX(1,MIN(5,SUMIFS(Måned!$H$5:$H$2000,Måned!$A$5:$A$2000,$A58,Måned!$C$5:$C$2000,MONTH(W$5+3))+SUMPRODUCT((Vinduer!$A$5:$A$300=$A58)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8" s="19">
        <f>IF($A58="","",IF(COUNTIFS(Måned!$A$5:$A$2000,$A58,Måned!$C$5:$C$2000,MONTH(X$5+3))=0,"",MAX(1,MIN(5,SUMIFS(Måned!$H$5:$H$2000,Måned!$A$5:$A$2000,$A58,Måned!$C$5:$C$2000,MONTH(X$5+3))+SUMPRODUCT((Vinduer!$A$5:$A$300=$A58)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8" s="19">
        <f>IF($A58="","",IF(COUNTIFS(Måned!$A$5:$A$2000,$A58,Måned!$C$5:$C$2000,MONTH(Y$5+3))=0,"",MAX(1,MIN(5,SUMIFS(Måned!$H$5:$H$2000,Måned!$A$5:$A$2000,$A58,Måned!$C$5:$C$2000,MONTH(Y$5+3))+SUMPRODUCT((Vinduer!$A$5:$A$300=$A58)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8" s="19">
        <f>IF($A58="","",IF(COUNTIFS(Måned!$A$5:$A$2000,$A58,Måned!$C$5:$C$2000,MONTH(Z$5+3))=0,"",MAX(1,MIN(5,SUMIFS(Måned!$H$5:$H$2000,Måned!$A$5:$A$2000,$A58,Måned!$C$5:$C$2000,MONTH(Z$5+3))+SUMPRODUCT((Vinduer!$A$5:$A$300=$A58)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8" s="19">
        <f>IF($A58="","",IF(COUNTIFS(Måned!$A$5:$A$2000,$A58,Måned!$C$5:$C$2000,MONTH(AA$5+3))=0,"",MAX(1,MIN(5,SUMIFS(Måned!$H$5:$H$2000,Måned!$A$5:$A$2000,$A58,Måned!$C$5:$C$2000,MONTH(AA$5+3))+SUMPRODUCT((Vinduer!$A$5:$A$300=$A58)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8" s="19">
        <f>IF($A58="","",IF(COUNTIFS(Måned!$A$5:$A$2000,$A58,Måned!$C$5:$C$2000,MONTH(AB$5+3))=0,"",MAX(1,MIN(5,SUMIFS(Måned!$H$5:$H$2000,Måned!$A$5:$A$2000,$A58,Måned!$C$5:$C$2000,MONTH(AB$5+3))+SUMPRODUCT((Vinduer!$A$5:$A$300=$A58)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8" s="19">
        <f>IF($A58="","",IF(COUNTIFS(Måned!$A$5:$A$2000,$A58,Måned!$C$5:$C$2000,MONTH(AC$5+3))=0,"",MAX(1,MIN(5,SUMIFS(Måned!$H$5:$H$2000,Måned!$A$5:$A$2000,$A58,Måned!$C$5:$C$2000,MONTH(AC$5+3))+SUMPRODUCT((Vinduer!$A$5:$A$300=$A58)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8" s="19">
        <f>IF($A58="","",IF(COUNTIFS(Måned!$A$5:$A$2000,$A58,Måned!$C$5:$C$2000,MONTH(AD$5+3))=0,"",MAX(1,MIN(5,SUMIFS(Måned!$H$5:$H$2000,Måned!$A$5:$A$2000,$A58,Måned!$C$5:$C$2000,MONTH(AD$5+3))+SUMPRODUCT((Vinduer!$A$5:$A$300=$A58)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8" s="19">
        <f>IF($A58="","",IF(COUNTIFS(Måned!$A$5:$A$2000,$A58,Måned!$C$5:$C$2000,MONTH(AE$5+3))=0,"",MAX(1,MIN(5,SUMIFS(Måned!$H$5:$H$2000,Måned!$A$5:$A$2000,$A58,Måned!$C$5:$C$2000,MONTH(AE$5+3))+SUMPRODUCT((Vinduer!$A$5:$A$300=$A58)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8" s="19">
        <f>IF($A58="","",IF(COUNTIFS(Måned!$A$5:$A$2000,$A58,Måned!$C$5:$C$2000,MONTH(AF$5+3))=0,"",MAX(1,MIN(5,SUMIFS(Måned!$H$5:$H$2000,Måned!$A$5:$A$2000,$A58,Måned!$C$5:$C$2000,MONTH(AF$5+3))+SUMPRODUCT((Vinduer!$A$5:$A$300=$A58)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8" s="19">
        <f>IF($A58="","",IF(COUNTIFS(Måned!$A$5:$A$2000,$A58,Måned!$C$5:$C$2000,MONTH(AG$5+3))=0,"",MAX(1,MIN(5,SUMIFS(Måned!$H$5:$H$2000,Måned!$A$5:$A$2000,$A58,Måned!$C$5:$C$2000,MONTH(AG$5+3))+SUMPRODUCT((Vinduer!$A$5:$A$300=$A58)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8" s="19">
        <f>IF($A58="","",IF(COUNTIFS(Måned!$A$5:$A$2000,$A58,Måned!$C$5:$C$2000,MONTH(AH$5+3))=0,"",MAX(1,MIN(5,SUMIFS(Måned!$H$5:$H$2000,Måned!$A$5:$A$2000,$A58,Måned!$C$5:$C$2000,MONTH(AH$5+3))+SUMPRODUCT((Vinduer!$A$5:$A$300=$A58)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8" s="19">
        <f>IF($A58="","",IF(COUNTIFS(Måned!$A$5:$A$2000,$A58,Måned!$C$5:$C$2000,MONTH(AI$5+3))=0,"",MAX(1,MIN(5,SUMIFS(Måned!$H$5:$H$2000,Måned!$A$5:$A$2000,$A58,Måned!$C$5:$C$2000,MONTH(AI$5+3))+SUMPRODUCT((Vinduer!$A$5:$A$300=$A58)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8" s="19">
        <f>IF($A58="","",IF(COUNTIFS(Måned!$A$5:$A$2000,$A58,Måned!$C$5:$C$2000,MONTH(AJ$5+3))=0,"",MAX(1,MIN(5,SUMIFS(Måned!$H$5:$H$2000,Måned!$A$5:$A$2000,$A58,Måned!$C$5:$C$2000,MONTH(AJ$5+3))+SUMPRODUCT((Vinduer!$A$5:$A$300=$A58)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8" s="19">
        <f>IF($A58="","",IF(COUNTIFS(Måned!$A$5:$A$2000,$A58,Måned!$C$5:$C$2000,MONTH(AK$5+3))=0,"",MAX(1,MIN(5,SUMIFS(Måned!$H$5:$H$2000,Måned!$A$5:$A$2000,$A58,Måned!$C$5:$C$2000,MONTH(AK$5+3))+SUMPRODUCT((Vinduer!$A$5:$A$300=$A58)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8" s="19">
        <f>IF($A58="","",IF(COUNTIFS(Måned!$A$5:$A$2000,$A58,Måned!$C$5:$C$2000,MONTH(AL$5+3))=0,"",MAX(1,MIN(5,SUMIFS(Måned!$H$5:$H$2000,Måned!$A$5:$A$2000,$A58,Måned!$C$5:$C$2000,MONTH(AL$5+3))+SUMPRODUCT((Vinduer!$A$5:$A$300=$A58)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8" s="19">
        <f>IF($A58="","",IF(COUNTIFS(Måned!$A$5:$A$2000,$A58,Måned!$C$5:$C$2000,MONTH(AM$5+3))=0,"",MAX(1,MIN(5,SUMIFS(Måned!$H$5:$H$2000,Måned!$A$5:$A$2000,$A58,Måned!$C$5:$C$2000,MONTH(AM$5+3))+SUMPRODUCT((Vinduer!$A$5:$A$300=$A58)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8" s="19">
        <f>IF($A58="","",IF(COUNTIFS(Måned!$A$5:$A$2000,$A58,Måned!$C$5:$C$2000,MONTH(AN$5+3))=0,"",MAX(1,MIN(5,SUMIFS(Måned!$H$5:$H$2000,Måned!$A$5:$A$2000,$A58,Måned!$C$5:$C$2000,MONTH(AN$5+3))+SUMPRODUCT((Vinduer!$A$5:$A$300=$A58)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8" s="19">
        <f>IF($A58="","",IF(COUNTIFS(Måned!$A$5:$A$2000,$A58,Måned!$C$5:$C$2000,MONTH(AO$5+3))=0,"",MAX(1,MIN(5,SUMIFS(Måned!$H$5:$H$2000,Måned!$A$5:$A$2000,$A58,Måned!$C$5:$C$2000,MONTH(AO$5+3))+SUMPRODUCT((Vinduer!$A$5:$A$300=$A58)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8" s="19">
        <f>IF($A58="","",IF(COUNTIFS(Måned!$A$5:$A$2000,$A58,Måned!$C$5:$C$2000,MONTH(AP$5+3))=0,"",MAX(1,MIN(5,SUMIFS(Måned!$H$5:$H$2000,Måned!$A$5:$A$2000,$A58,Måned!$C$5:$C$2000,MONTH(AP$5+3))+SUMPRODUCT((Vinduer!$A$5:$A$300=$A58)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8" s="19">
        <f>IF($A58="","",IF(COUNTIFS(Måned!$A$5:$A$2000,$A58,Måned!$C$5:$C$2000,MONTH(AQ$5+3))=0,"",MAX(1,MIN(5,SUMIFS(Måned!$H$5:$H$2000,Måned!$A$5:$A$2000,$A58,Måned!$C$5:$C$2000,MONTH(AQ$5+3))+SUMPRODUCT((Vinduer!$A$5:$A$300=$A58)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8" s="19">
        <f>IF($A58="","",IF(COUNTIFS(Måned!$A$5:$A$2000,$A58,Måned!$C$5:$C$2000,MONTH(AR$5+3))=0,"",MAX(1,MIN(5,SUMIFS(Måned!$H$5:$H$2000,Måned!$A$5:$A$2000,$A58,Måned!$C$5:$C$2000,MONTH(AR$5+3))+SUMPRODUCT((Vinduer!$A$5:$A$300=$A58)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8" s="19">
        <f>IF($A58="","",IF(COUNTIFS(Måned!$A$5:$A$2000,$A58,Måned!$C$5:$C$2000,MONTH(AS$5+3))=0,"",MAX(1,MIN(5,SUMIFS(Måned!$H$5:$H$2000,Måned!$A$5:$A$2000,$A58,Måned!$C$5:$C$2000,MONTH(AS$5+3))+SUMPRODUCT((Vinduer!$A$5:$A$300=$A58)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8" s="19">
        <f>IF($A58="","",IF(COUNTIFS(Måned!$A$5:$A$2000,$A58,Måned!$C$5:$C$2000,MONTH(AT$5+3))=0,"",MAX(1,MIN(5,SUMIFS(Måned!$H$5:$H$2000,Måned!$A$5:$A$2000,$A58,Måned!$C$5:$C$2000,MONTH(AT$5+3))+SUMPRODUCT((Vinduer!$A$5:$A$300=$A58)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8" s="19">
        <f>IF($A58="","",IF(COUNTIFS(Måned!$A$5:$A$2000,$A58,Måned!$C$5:$C$2000,MONTH(AU$5+3))=0,"",MAX(1,MIN(5,SUMIFS(Måned!$H$5:$H$2000,Måned!$A$5:$A$2000,$A58,Måned!$C$5:$C$2000,MONTH(AU$5+3))+SUMPRODUCT((Vinduer!$A$5:$A$300=$A58)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8" s="19">
        <f>IF($A58="","",IF(COUNTIFS(Måned!$A$5:$A$2000,$A58,Måned!$C$5:$C$2000,MONTH(AV$5+3))=0,"",MAX(1,MIN(5,SUMIFS(Måned!$H$5:$H$2000,Måned!$A$5:$A$2000,$A58,Måned!$C$5:$C$2000,MONTH(AV$5+3))+SUMPRODUCT((Vinduer!$A$5:$A$300=$A58)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8" s="19">
        <f>IF($A58="","",IF(COUNTIFS(Måned!$A$5:$A$2000,$A58,Måned!$C$5:$C$2000,MONTH(AW$5+3))=0,"",MAX(1,MIN(5,SUMIFS(Måned!$H$5:$H$2000,Måned!$A$5:$A$2000,$A58,Måned!$C$5:$C$2000,MONTH(AW$5+3))+SUMPRODUCT((Vinduer!$A$5:$A$300=$A58)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8" s="19">
        <f>IF($A58="","",IF(COUNTIFS(Måned!$A$5:$A$2000,$A58,Måned!$C$5:$C$2000,MONTH(AX$5+3))=0,"",MAX(1,MIN(5,SUMIFS(Måned!$H$5:$H$2000,Måned!$A$5:$A$2000,$A58,Måned!$C$5:$C$2000,MONTH(AX$5+3))+SUMPRODUCT((Vinduer!$A$5:$A$300=$A58)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8" s="19">
        <f>IF($A58="","",IF(COUNTIFS(Måned!$A$5:$A$2000,$A58,Måned!$C$5:$C$2000,MONTH(AY$5+3))=0,"",MAX(1,MIN(5,SUMIFS(Måned!$H$5:$H$2000,Måned!$A$5:$A$2000,$A58,Måned!$C$5:$C$2000,MONTH(AY$5+3))+SUMPRODUCT((Vinduer!$A$5:$A$300=$A58)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8" s="19">
        <f>IF($A58="","",IF(COUNTIFS(Måned!$A$5:$A$2000,$A58,Måned!$C$5:$C$2000,MONTH(AZ$5+3))=0,"",MAX(1,MIN(5,SUMIFS(Måned!$H$5:$H$2000,Måned!$A$5:$A$2000,$A58,Måned!$C$5:$C$2000,MONTH(AZ$5+3))+SUMPRODUCT((Vinduer!$A$5:$A$300=$A58)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8" s="19">
        <f>IF($A58="","",IF(COUNTIFS(Måned!$A$5:$A$2000,$A58,Måned!$C$5:$C$2000,MONTH(BA$5+3))=0,"",MAX(1,MIN(5,SUMIFS(Måned!$H$5:$H$2000,Måned!$A$5:$A$2000,$A58,Måned!$C$5:$C$2000,MONTH(BA$5+3))+SUMPRODUCT((Vinduer!$A$5:$A$300=$A58)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8" s="19">
        <f>IF($A58="","",IF(COUNTIFS(Måned!$A$5:$A$2000,$A58,Måned!$C$5:$C$2000,MONTH(BB$5+3))=0,"",MAX(1,MIN(5,SUMIFS(Måned!$H$5:$H$2000,Måned!$A$5:$A$2000,$A58,Måned!$C$5:$C$2000,MONTH(BB$5+3))+SUMPRODUCT((Vinduer!$A$5:$A$300=$A58)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8" s="19">
        <f>IF($A58="","",IF(COUNTIFS(Måned!$A$5:$A$2000,$A58,Måned!$C$5:$C$2000,MONTH(BC$5+3))=0,"",MAX(1,MIN(5,SUMIFS(Måned!$H$5:$H$2000,Måned!$A$5:$A$2000,$A58,Måned!$C$5:$C$2000,MONTH(BC$5+3))+SUMPRODUCT((Vinduer!$A$5:$A$300=$A58)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8" s="19">
        <f>IF($A58="","",IF(COUNTIFS(Måned!$A$5:$A$2000,$A58,Måned!$C$5:$C$2000,MONTH(BD$5+3))=0,"",MAX(1,MIN(5,SUMIFS(Måned!$H$5:$H$2000,Måned!$A$5:$A$2000,$A58,Måned!$C$5:$C$2000,MONTH(BD$5+3))+SUMPRODUCT((Vinduer!$A$5:$A$300=$A58)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8" s="19">
        <f>IF($A58="","",IF(COUNTIFS(Måned!$A$5:$A$2000,$A58,Måned!$C$5:$C$2000,MONTH(BE$5+3))=0,"",MAX(1,MIN(5,SUMIFS(Måned!$H$5:$H$2000,Måned!$A$5:$A$2000,$A58,Måned!$C$5:$C$2000,MONTH(BE$5+3))+SUMPRODUCT((Vinduer!$A$5:$A$300=$A58)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59">
      <c r="A59" s="5">
        <f>IF(Destinasjoner!A55="","",Destinasjoner!A55)</f>
        <v/>
      </c>
      <c r="B59" s="5">
        <f>IF(A59="","",Destinasjoner!E55)</f>
        <v/>
      </c>
      <c r="C59" s="5">
        <f>IF(A59="","",Destinasjoner!B55)</f>
        <v/>
      </c>
      <c r="D59" s="17">
        <f>IFERROR(SUMIFS(F59:BE59,$F$7:$BE$7,"x")/COUNTIFS($F$7:$BE$7,"x",F59:BE59,"&gt;0"),"")</f>
        <v/>
      </c>
      <c r="E59" s="18">
        <f>IF(D59="","",_xlfn.MINIFS(F59:BE59,$F$7:$BE$7,"x",F59:BE59,"&gt;0"))</f>
        <v/>
      </c>
      <c r="F59" s="19">
        <f>IF($A59="","",IF(COUNTIFS(Måned!$A$5:$A$2000,$A59,Måned!$C$5:$C$2000,MONTH(F$5+3))=0,"",MAX(1,MIN(5,SUMIFS(Måned!$H$5:$H$2000,Måned!$A$5:$A$2000,$A59,Måned!$C$5:$C$2000,MONTH(F$5+3))+SUMPRODUCT((Vinduer!$A$5:$A$300=$A59)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59" s="19">
        <f>IF($A59="","",IF(COUNTIFS(Måned!$A$5:$A$2000,$A59,Måned!$C$5:$C$2000,MONTH(G$5+3))=0,"",MAX(1,MIN(5,SUMIFS(Måned!$H$5:$H$2000,Måned!$A$5:$A$2000,$A59,Måned!$C$5:$C$2000,MONTH(G$5+3))+SUMPRODUCT((Vinduer!$A$5:$A$300=$A59)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59" s="19">
        <f>IF($A59="","",IF(COUNTIFS(Måned!$A$5:$A$2000,$A59,Måned!$C$5:$C$2000,MONTH(H$5+3))=0,"",MAX(1,MIN(5,SUMIFS(Måned!$H$5:$H$2000,Måned!$A$5:$A$2000,$A59,Måned!$C$5:$C$2000,MONTH(H$5+3))+SUMPRODUCT((Vinduer!$A$5:$A$300=$A59)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59" s="19">
        <f>IF($A59="","",IF(COUNTIFS(Måned!$A$5:$A$2000,$A59,Måned!$C$5:$C$2000,MONTH(I$5+3))=0,"",MAX(1,MIN(5,SUMIFS(Måned!$H$5:$H$2000,Måned!$A$5:$A$2000,$A59,Måned!$C$5:$C$2000,MONTH(I$5+3))+SUMPRODUCT((Vinduer!$A$5:$A$300=$A59)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59" s="19">
        <f>IF($A59="","",IF(COUNTIFS(Måned!$A$5:$A$2000,$A59,Måned!$C$5:$C$2000,MONTH(J$5+3))=0,"",MAX(1,MIN(5,SUMIFS(Måned!$H$5:$H$2000,Måned!$A$5:$A$2000,$A59,Måned!$C$5:$C$2000,MONTH(J$5+3))+SUMPRODUCT((Vinduer!$A$5:$A$300=$A59)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59" s="19">
        <f>IF($A59="","",IF(COUNTIFS(Måned!$A$5:$A$2000,$A59,Måned!$C$5:$C$2000,MONTH(K$5+3))=0,"",MAX(1,MIN(5,SUMIFS(Måned!$H$5:$H$2000,Måned!$A$5:$A$2000,$A59,Måned!$C$5:$C$2000,MONTH(K$5+3))+SUMPRODUCT((Vinduer!$A$5:$A$300=$A59)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59" s="19">
        <f>IF($A59="","",IF(COUNTIFS(Måned!$A$5:$A$2000,$A59,Måned!$C$5:$C$2000,MONTH(L$5+3))=0,"",MAX(1,MIN(5,SUMIFS(Måned!$H$5:$H$2000,Måned!$A$5:$A$2000,$A59,Måned!$C$5:$C$2000,MONTH(L$5+3))+SUMPRODUCT((Vinduer!$A$5:$A$300=$A59)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59" s="19">
        <f>IF($A59="","",IF(COUNTIFS(Måned!$A$5:$A$2000,$A59,Måned!$C$5:$C$2000,MONTH(M$5+3))=0,"",MAX(1,MIN(5,SUMIFS(Måned!$H$5:$H$2000,Måned!$A$5:$A$2000,$A59,Måned!$C$5:$C$2000,MONTH(M$5+3))+SUMPRODUCT((Vinduer!$A$5:$A$300=$A59)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59" s="19">
        <f>IF($A59="","",IF(COUNTIFS(Måned!$A$5:$A$2000,$A59,Måned!$C$5:$C$2000,MONTH(N$5+3))=0,"",MAX(1,MIN(5,SUMIFS(Måned!$H$5:$H$2000,Måned!$A$5:$A$2000,$A59,Måned!$C$5:$C$2000,MONTH(N$5+3))+SUMPRODUCT((Vinduer!$A$5:$A$300=$A59)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59" s="19">
        <f>IF($A59="","",IF(COUNTIFS(Måned!$A$5:$A$2000,$A59,Måned!$C$5:$C$2000,MONTH(O$5+3))=0,"",MAX(1,MIN(5,SUMIFS(Måned!$H$5:$H$2000,Måned!$A$5:$A$2000,$A59,Måned!$C$5:$C$2000,MONTH(O$5+3))+SUMPRODUCT((Vinduer!$A$5:$A$300=$A59)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59" s="19">
        <f>IF($A59="","",IF(COUNTIFS(Måned!$A$5:$A$2000,$A59,Måned!$C$5:$C$2000,MONTH(P$5+3))=0,"",MAX(1,MIN(5,SUMIFS(Måned!$H$5:$H$2000,Måned!$A$5:$A$2000,$A59,Måned!$C$5:$C$2000,MONTH(P$5+3))+SUMPRODUCT((Vinduer!$A$5:$A$300=$A59)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59" s="19">
        <f>IF($A59="","",IF(COUNTIFS(Måned!$A$5:$A$2000,$A59,Måned!$C$5:$C$2000,MONTH(Q$5+3))=0,"",MAX(1,MIN(5,SUMIFS(Måned!$H$5:$H$2000,Måned!$A$5:$A$2000,$A59,Måned!$C$5:$C$2000,MONTH(Q$5+3))+SUMPRODUCT((Vinduer!$A$5:$A$300=$A59)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59" s="19">
        <f>IF($A59="","",IF(COUNTIFS(Måned!$A$5:$A$2000,$A59,Måned!$C$5:$C$2000,MONTH(R$5+3))=0,"",MAX(1,MIN(5,SUMIFS(Måned!$H$5:$H$2000,Måned!$A$5:$A$2000,$A59,Måned!$C$5:$C$2000,MONTH(R$5+3))+SUMPRODUCT((Vinduer!$A$5:$A$300=$A59)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59" s="19">
        <f>IF($A59="","",IF(COUNTIFS(Måned!$A$5:$A$2000,$A59,Måned!$C$5:$C$2000,MONTH(S$5+3))=0,"",MAX(1,MIN(5,SUMIFS(Måned!$H$5:$H$2000,Måned!$A$5:$A$2000,$A59,Måned!$C$5:$C$2000,MONTH(S$5+3))+SUMPRODUCT((Vinduer!$A$5:$A$300=$A59)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59" s="19">
        <f>IF($A59="","",IF(COUNTIFS(Måned!$A$5:$A$2000,$A59,Måned!$C$5:$C$2000,MONTH(T$5+3))=0,"",MAX(1,MIN(5,SUMIFS(Måned!$H$5:$H$2000,Måned!$A$5:$A$2000,$A59,Måned!$C$5:$C$2000,MONTH(T$5+3))+SUMPRODUCT((Vinduer!$A$5:$A$300=$A59)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59" s="19">
        <f>IF($A59="","",IF(COUNTIFS(Måned!$A$5:$A$2000,$A59,Måned!$C$5:$C$2000,MONTH(U$5+3))=0,"",MAX(1,MIN(5,SUMIFS(Måned!$H$5:$H$2000,Måned!$A$5:$A$2000,$A59,Måned!$C$5:$C$2000,MONTH(U$5+3))+SUMPRODUCT((Vinduer!$A$5:$A$300=$A59)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59" s="19">
        <f>IF($A59="","",IF(COUNTIFS(Måned!$A$5:$A$2000,$A59,Måned!$C$5:$C$2000,MONTH(V$5+3))=0,"",MAX(1,MIN(5,SUMIFS(Måned!$H$5:$H$2000,Måned!$A$5:$A$2000,$A59,Måned!$C$5:$C$2000,MONTH(V$5+3))+SUMPRODUCT((Vinduer!$A$5:$A$300=$A59)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59" s="19">
        <f>IF($A59="","",IF(COUNTIFS(Måned!$A$5:$A$2000,$A59,Måned!$C$5:$C$2000,MONTH(W$5+3))=0,"",MAX(1,MIN(5,SUMIFS(Måned!$H$5:$H$2000,Måned!$A$5:$A$2000,$A59,Måned!$C$5:$C$2000,MONTH(W$5+3))+SUMPRODUCT((Vinduer!$A$5:$A$300=$A59)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59" s="19">
        <f>IF($A59="","",IF(COUNTIFS(Måned!$A$5:$A$2000,$A59,Måned!$C$5:$C$2000,MONTH(X$5+3))=0,"",MAX(1,MIN(5,SUMIFS(Måned!$H$5:$H$2000,Måned!$A$5:$A$2000,$A59,Måned!$C$5:$C$2000,MONTH(X$5+3))+SUMPRODUCT((Vinduer!$A$5:$A$300=$A59)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59" s="19">
        <f>IF($A59="","",IF(COUNTIFS(Måned!$A$5:$A$2000,$A59,Måned!$C$5:$C$2000,MONTH(Y$5+3))=0,"",MAX(1,MIN(5,SUMIFS(Måned!$H$5:$H$2000,Måned!$A$5:$A$2000,$A59,Måned!$C$5:$C$2000,MONTH(Y$5+3))+SUMPRODUCT((Vinduer!$A$5:$A$300=$A59)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59" s="19">
        <f>IF($A59="","",IF(COUNTIFS(Måned!$A$5:$A$2000,$A59,Måned!$C$5:$C$2000,MONTH(Z$5+3))=0,"",MAX(1,MIN(5,SUMIFS(Måned!$H$5:$H$2000,Måned!$A$5:$A$2000,$A59,Måned!$C$5:$C$2000,MONTH(Z$5+3))+SUMPRODUCT((Vinduer!$A$5:$A$300=$A59)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59" s="19">
        <f>IF($A59="","",IF(COUNTIFS(Måned!$A$5:$A$2000,$A59,Måned!$C$5:$C$2000,MONTH(AA$5+3))=0,"",MAX(1,MIN(5,SUMIFS(Måned!$H$5:$H$2000,Måned!$A$5:$A$2000,$A59,Måned!$C$5:$C$2000,MONTH(AA$5+3))+SUMPRODUCT((Vinduer!$A$5:$A$300=$A59)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59" s="19">
        <f>IF($A59="","",IF(COUNTIFS(Måned!$A$5:$A$2000,$A59,Måned!$C$5:$C$2000,MONTH(AB$5+3))=0,"",MAX(1,MIN(5,SUMIFS(Måned!$H$5:$H$2000,Måned!$A$5:$A$2000,$A59,Måned!$C$5:$C$2000,MONTH(AB$5+3))+SUMPRODUCT((Vinduer!$A$5:$A$300=$A59)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59" s="19">
        <f>IF($A59="","",IF(COUNTIFS(Måned!$A$5:$A$2000,$A59,Måned!$C$5:$C$2000,MONTH(AC$5+3))=0,"",MAX(1,MIN(5,SUMIFS(Måned!$H$5:$H$2000,Måned!$A$5:$A$2000,$A59,Måned!$C$5:$C$2000,MONTH(AC$5+3))+SUMPRODUCT((Vinduer!$A$5:$A$300=$A59)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59" s="19">
        <f>IF($A59="","",IF(COUNTIFS(Måned!$A$5:$A$2000,$A59,Måned!$C$5:$C$2000,MONTH(AD$5+3))=0,"",MAX(1,MIN(5,SUMIFS(Måned!$H$5:$H$2000,Måned!$A$5:$A$2000,$A59,Måned!$C$5:$C$2000,MONTH(AD$5+3))+SUMPRODUCT((Vinduer!$A$5:$A$300=$A59)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59" s="19">
        <f>IF($A59="","",IF(COUNTIFS(Måned!$A$5:$A$2000,$A59,Måned!$C$5:$C$2000,MONTH(AE$5+3))=0,"",MAX(1,MIN(5,SUMIFS(Måned!$H$5:$H$2000,Måned!$A$5:$A$2000,$A59,Måned!$C$5:$C$2000,MONTH(AE$5+3))+SUMPRODUCT((Vinduer!$A$5:$A$300=$A59)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59" s="19">
        <f>IF($A59="","",IF(COUNTIFS(Måned!$A$5:$A$2000,$A59,Måned!$C$5:$C$2000,MONTH(AF$5+3))=0,"",MAX(1,MIN(5,SUMIFS(Måned!$H$5:$H$2000,Måned!$A$5:$A$2000,$A59,Måned!$C$5:$C$2000,MONTH(AF$5+3))+SUMPRODUCT((Vinduer!$A$5:$A$300=$A59)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59" s="19">
        <f>IF($A59="","",IF(COUNTIFS(Måned!$A$5:$A$2000,$A59,Måned!$C$5:$C$2000,MONTH(AG$5+3))=0,"",MAX(1,MIN(5,SUMIFS(Måned!$H$5:$H$2000,Måned!$A$5:$A$2000,$A59,Måned!$C$5:$C$2000,MONTH(AG$5+3))+SUMPRODUCT((Vinduer!$A$5:$A$300=$A59)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59" s="19">
        <f>IF($A59="","",IF(COUNTIFS(Måned!$A$5:$A$2000,$A59,Måned!$C$5:$C$2000,MONTH(AH$5+3))=0,"",MAX(1,MIN(5,SUMIFS(Måned!$H$5:$H$2000,Måned!$A$5:$A$2000,$A59,Måned!$C$5:$C$2000,MONTH(AH$5+3))+SUMPRODUCT((Vinduer!$A$5:$A$300=$A59)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59" s="19">
        <f>IF($A59="","",IF(COUNTIFS(Måned!$A$5:$A$2000,$A59,Måned!$C$5:$C$2000,MONTH(AI$5+3))=0,"",MAX(1,MIN(5,SUMIFS(Måned!$H$5:$H$2000,Måned!$A$5:$A$2000,$A59,Måned!$C$5:$C$2000,MONTH(AI$5+3))+SUMPRODUCT((Vinduer!$A$5:$A$300=$A59)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59" s="19">
        <f>IF($A59="","",IF(COUNTIFS(Måned!$A$5:$A$2000,$A59,Måned!$C$5:$C$2000,MONTH(AJ$5+3))=0,"",MAX(1,MIN(5,SUMIFS(Måned!$H$5:$H$2000,Måned!$A$5:$A$2000,$A59,Måned!$C$5:$C$2000,MONTH(AJ$5+3))+SUMPRODUCT((Vinduer!$A$5:$A$300=$A59)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59" s="19">
        <f>IF($A59="","",IF(COUNTIFS(Måned!$A$5:$A$2000,$A59,Måned!$C$5:$C$2000,MONTH(AK$5+3))=0,"",MAX(1,MIN(5,SUMIFS(Måned!$H$5:$H$2000,Måned!$A$5:$A$2000,$A59,Måned!$C$5:$C$2000,MONTH(AK$5+3))+SUMPRODUCT((Vinduer!$A$5:$A$300=$A59)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59" s="19">
        <f>IF($A59="","",IF(COUNTIFS(Måned!$A$5:$A$2000,$A59,Måned!$C$5:$C$2000,MONTH(AL$5+3))=0,"",MAX(1,MIN(5,SUMIFS(Måned!$H$5:$H$2000,Måned!$A$5:$A$2000,$A59,Måned!$C$5:$C$2000,MONTH(AL$5+3))+SUMPRODUCT((Vinduer!$A$5:$A$300=$A59)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59" s="19">
        <f>IF($A59="","",IF(COUNTIFS(Måned!$A$5:$A$2000,$A59,Måned!$C$5:$C$2000,MONTH(AM$5+3))=0,"",MAX(1,MIN(5,SUMIFS(Måned!$H$5:$H$2000,Måned!$A$5:$A$2000,$A59,Måned!$C$5:$C$2000,MONTH(AM$5+3))+SUMPRODUCT((Vinduer!$A$5:$A$300=$A59)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59" s="19">
        <f>IF($A59="","",IF(COUNTIFS(Måned!$A$5:$A$2000,$A59,Måned!$C$5:$C$2000,MONTH(AN$5+3))=0,"",MAX(1,MIN(5,SUMIFS(Måned!$H$5:$H$2000,Måned!$A$5:$A$2000,$A59,Måned!$C$5:$C$2000,MONTH(AN$5+3))+SUMPRODUCT((Vinduer!$A$5:$A$300=$A59)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59" s="19">
        <f>IF($A59="","",IF(COUNTIFS(Måned!$A$5:$A$2000,$A59,Måned!$C$5:$C$2000,MONTH(AO$5+3))=0,"",MAX(1,MIN(5,SUMIFS(Måned!$H$5:$H$2000,Måned!$A$5:$A$2000,$A59,Måned!$C$5:$C$2000,MONTH(AO$5+3))+SUMPRODUCT((Vinduer!$A$5:$A$300=$A59)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59" s="19">
        <f>IF($A59="","",IF(COUNTIFS(Måned!$A$5:$A$2000,$A59,Måned!$C$5:$C$2000,MONTH(AP$5+3))=0,"",MAX(1,MIN(5,SUMIFS(Måned!$H$5:$H$2000,Måned!$A$5:$A$2000,$A59,Måned!$C$5:$C$2000,MONTH(AP$5+3))+SUMPRODUCT((Vinduer!$A$5:$A$300=$A59)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59" s="19">
        <f>IF($A59="","",IF(COUNTIFS(Måned!$A$5:$A$2000,$A59,Måned!$C$5:$C$2000,MONTH(AQ$5+3))=0,"",MAX(1,MIN(5,SUMIFS(Måned!$H$5:$H$2000,Måned!$A$5:$A$2000,$A59,Måned!$C$5:$C$2000,MONTH(AQ$5+3))+SUMPRODUCT((Vinduer!$A$5:$A$300=$A59)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59" s="19">
        <f>IF($A59="","",IF(COUNTIFS(Måned!$A$5:$A$2000,$A59,Måned!$C$5:$C$2000,MONTH(AR$5+3))=0,"",MAX(1,MIN(5,SUMIFS(Måned!$H$5:$H$2000,Måned!$A$5:$A$2000,$A59,Måned!$C$5:$C$2000,MONTH(AR$5+3))+SUMPRODUCT((Vinduer!$A$5:$A$300=$A59)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59" s="19">
        <f>IF($A59="","",IF(COUNTIFS(Måned!$A$5:$A$2000,$A59,Måned!$C$5:$C$2000,MONTH(AS$5+3))=0,"",MAX(1,MIN(5,SUMIFS(Måned!$H$5:$H$2000,Måned!$A$5:$A$2000,$A59,Måned!$C$5:$C$2000,MONTH(AS$5+3))+SUMPRODUCT((Vinduer!$A$5:$A$300=$A59)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59" s="19">
        <f>IF($A59="","",IF(COUNTIFS(Måned!$A$5:$A$2000,$A59,Måned!$C$5:$C$2000,MONTH(AT$5+3))=0,"",MAX(1,MIN(5,SUMIFS(Måned!$H$5:$H$2000,Måned!$A$5:$A$2000,$A59,Måned!$C$5:$C$2000,MONTH(AT$5+3))+SUMPRODUCT((Vinduer!$A$5:$A$300=$A59)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59" s="19">
        <f>IF($A59="","",IF(COUNTIFS(Måned!$A$5:$A$2000,$A59,Måned!$C$5:$C$2000,MONTH(AU$5+3))=0,"",MAX(1,MIN(5,SUMIFS(Måned!$H$5:$H$2000,Måned!$A$5:$A$2000,$A59,Måned!$C$5:$C$2000,MONTH(AU$5+3))+SUMPRODUCT((Vinduer!$A$5:$A$300=$A59)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59" s="19">
        <f>IF($A59="","",IF(COUNTIFS(Måned!$A$5:$A$2000,$A59,Måned!$C$5:$C$2000,MONTH(AV$5+3))=0,"",MAX(1,MIN(5,SUMIFS(Måned!$H$5:$H$2000,Måned!$A$5:$A$2000,$A59,Måned!$C$5:$C$2000,MONTH(AV$5+3))+SUMPRODUCT((Vinduer!$A$5:$A$300=$A59)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59" s="19">
        <f>IF($A59="","",IF(COUNTIFS(Måned!$A$5:$A$2000,$A59,Måned!$C$5:$C$2000,MONTH(AW$5+3))=0,"",MAX(1,MIN(5,SUMIFS(Måned!$H$5:$H$2000,Måned!$A$5:$A$2000,$A59,Måned!$C$5:$C$2000,MONTH(AW$5+3))+SUMPRODUCT((Vinduer!$A$5:$A$300=$A59)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59" s="19">
        <f>IF($A59="","",IF(COUNTIFS(Måned!$A$5:$A$2000,$A59,Måned!$C$5:$C$2000,MONTH(AX$5+3))=0,"",MAX(1,MIN(5,SUMIFS(Måned!$H$5:$H$2000,Måned!$A$5:$A$2000,$A59,Måned!$C$5:$C$2000,MONTH(AX$5+3))+SUMPRODUCT((Vinduer!$A$5:$A$300=$A59)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59" s="19">
        <f>IF($A59="","",IF(COUNTIFS(Måned!$A$5:$A$2000,$A59,Måned!$C$5:$C$2000,MONTH(AY$5+3))=0,"",MAX(1,MIN(5,SUMIFS(Måned!$H$5:$H$2000,Måned!$A$5:$A$2000,$A59,Måned!$C$5:$C$2000,MONTH(AY$5+3))+SUMPRODUCT((Vinduer!$A$5:$A$300=$A59)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59" s="19">
        <f>IF($A59="","",IF(COUNTIFS(Måned!$A$5:$A$2000,$A59,Måned!$C$5:$C$2000,MONTH(AZ$5+3))=0,"",MAX(1,MIN(5,SUMIFS(Måned!$H$5:$H$2000,Måned!$A$5:$A$2000,$A59,Måned!$C$5:$C$2000,MONTH(AZ$5+3))+SUMPRODUCT((Vinduer!$A$5:$A$300=$A59)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59" s="19">
        <f>IF($A59="","",IF(COUNTIFS(Måned!$A$5:$A$2000,$A59,Måned!$C$5:$C$2000,MONTH(BA$5+3))=0,"",MAX(1,MIN(5,SUMIFS(Måned!$H$5:$H$2000,Måned!$A$5:$A$2000,$A59,Måned!$C$5:$C$2000,MONTH(BA$5+3))+SUMPRODUCT((Vinduer!$A$5:$A$300=$A59)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59" s="19">
        <f>IF($A59="","",IF(COUNTIFS(Måned!$A$5:$A$2000,$A59,Måned!$C$5:$C$2000,MONTH(BB$5+3))=0,"",MAX(1,MIN(5,SUMIFS(Måned!$H$5:$H$2000,Måned!$A$5:$A$2000,$A59,Måned!$C$5:$C$2000,MONTH(BB$5+3))+SUMPRODUCT((Vinduer!$A$5:$A$300=$A59)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59" s="19">
        <f>IF($A59="","",IF(COUNTIFS(Måned!$A$5:$A$2000,$A59,Måned!$C$5:$C$2000,MONTH(BC$5+3))=0,"",MAX(1,MIN(5,SUMIFS(Måned!$H$5:$H$2000,Måned!$A$5:$A$2000,$A59,Måned!$C$5:$C$2000,MONTH(BC$5+3))+SUMPRODUCT((Vinduer!$A$5:$A$300=$A59)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59" s="19">
        <f>IF($A59="","",IF(COUNTIFS(Måned!$A$5:$A$2000,$A59,Måned!$C$5:$C$2000,MONTH(BD$5+3))=0,"",MAX(1,MIN(5,SUMIFS(Måned!$H$5:$H$2000,Måned!$A$5:$A$2000,$A59,Måned!$C$5:$C$2000,MONTH(BD$5+3))+SUMPRODUCT((Vinduer!$A$5:$A$300=$A59)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59" s="19">
        <f>IF($A59="","",IF(COUNTIFS(Måned!$A$5:$A$2000,$A59,Måned!$C$5:$C$2000,MONTH(BE$5+3))=0,"",MAX(1,MIN(5,SUMIFS(Måned!$H$5:$H$2000,Måned!$A$5:$A$2000,$A59,Måned!$C$5:$C$2000,MONTH(BE$5+3))+SUMPRODUCT((Vinduer!$A$5:$A$300=$A59)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0">
      <c r="A60" s="5">
        <f>IF(Destinasjoner!A56="","",Destinasjoner!A56)</f>
        <v/>
      </c>
      <c r="B60" s="5">
        <f>IF(A60="","",Destinasjoner!E56)</f>
        <v/>
      </c>
      <c r="C60" s="5">
        <f>IF(A60="","",Destinasjoner!B56)</f>
        <v/>
      </c>
      <c r="D60" s="17">
        <f>IFERROR(SUMIFS(F60:BE60,$F$7:$BE$7,"x")/COUNTIFS($F$7:$BE$7,"x",F60:BE60,"&gt;0"),"")</f>
        <v/>
      </c>
      <c r="E60" s="18">
        <f>IF(D60="","",_xlfn.MINIFS(F60:BE60,$F$7:$BE$7,"x",F60:BE60,"&gt;0"))</f>
        <v/>
      </c>
      <c r="F60" s="19">
        <f>IF($A60="","",IF(COUNTIFS(Måned!$A$5:$A$2000,$A60,Måned!$C$5:$C$2000,MONTH(F$5+3))=0,"",MAX(1,MIN(5,SUMIFS(Måned!$H$5:$H$2000,Måned!$A$5:$A$2000,$A60,Måned!$C$5:$C$2000,MONTH(F$5+3))+SUMPRODUCT((Vinduer!$A$5:$A$300=$A60)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0" s="19">
        <f>IF($A60="","",IF(COUNTIFS(Måned!$A$5:$A$2000,$A60,Måned!$C$5:$C$2000,MONTH(G$5+3))=0,"",MAX(1,MIN(5,SUMIFS(Måned!$H$5:$H$2000,Måned!$A$5:$A$2000,$A60,Måned!$C$5:$C$2000,MONTH(G$5+3))+SUMPRODUCT((Vinduer!$A$5:$A$300=$A60)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0" s="19">
        <f>IF($A60="","",IF(COUNTIFS(Måned!$A$5:$A$2000,$A60,Måned!$C$5:$C$2000,MONTH(H$5+3))=0,"",MAX(1,MIN(5,SUMIFS(Måned!$H$5:$H$2000,Måned!$A$5:$A$2000,$A60,Måned!$C$5:$C$2000,MONTH(H$5+3))+SUMPRODUCT((Vinduer!$A$5:$A$300=$A60)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0" s="19">
        <f>IF($A60="","",IF(COUNTIFS(Måned!$A$5:$A$2000,$A60,Måned!$C$5:$C$2000,MONTH(I$5+3))=0,"",MAX(1,MIN(5,SUMIFS(Måned!$H$5:$H$2000,Måned!$A$5:$A$2000,$A60,Måned!$C$5:$C$2000,MONTH(I$5+3))+SUMPRODUCT((Vinduer!$A$5:$A$300=$A60)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0" s="19">
        <f>IF($A60="","",IF(COUNTIFS(Måned!$A$5:$A$2000,$A60,Måned!$C$5:$C$2000,MONTH(J$5+3))=0,"",MAX(1,MIN(5,SUMIFS(Måned!$H$5:$H$2000,Måned!$A$5:$A$2000,$A60,Måned!$C$5:$C$2000,MONTH(J$5+3))+SUMPRODUCT((Vinduer!$A$5:$A$300=$A60)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0" s="19">
        <f>IF($A60="","",IF(COUNTIFS(Måned!$A$5:$A$2000,$A60,Måned!$C$5:$C$2000,MONTH(K$5+3))=0,"",MAX(1,MIN(5,SUMIFS(Måned!$H$5:$H$2000,Måned!$A$5:$A$2000,$A60,Måned!$C$5:$C$2000,MONTH(K$5+3))+SUMPRODUCT((Vinduer!$A$5:$A$300=$A60)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0" s="19">
        <f>IF($A60="","",IF(COUNTIFS(Måned!$A$5:$A$2000,$A60,Måned!$C$5:$C$2000,MONTH(L$5+3))=0,"",MAX(1,MIN(5,SUMIFS(Måned!$H$5:$H$2000,Måned!$A$5:$A$2000,$A60,Måned!$C$5:$C$2000,MONTH(L$5+3))+SUMPRODUCT((Vinduer!$A$5:$A$300=$A60)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0" s="19">
        <f>IF($A60="","",IF(COUNTIFS(Måned!$A$5:$A$2000,$A60,Måned!$C$5:$C$2000,MONTH(M$5+3))=0,"",MAX(1,MIN(5,SUMIFS(Måned!$H$5:$H$2000,Måned!$A$5:$A$2000,$A60,Måned!$C$5:$C$2000,MONTH(M$5+3))+SUMPRODUCT((Vinduer!$A$5:$A$300=$A60)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0" s="19">
        <f>IF($A60="","",IF(COUNTIFS(Måned!$A$5:$A$2000,$A60,Måned!$C$5:$C$2000,MONTH(N$5+3))=0,"",MAX(1,MIN(5,SUMIFS(Måned!$H$5:$H$2000,Måned!$A$5:$A$2000,$A60,Måned!$C$5:$C$2000,MONTH(N$5+3))+SUMPRODUCT((Vinduer!$A$5:$A$300=$A60)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0" s="19">
        <f>IF($A60="","",IF(COUNTIFS(Måned!$A$5:$A$2000,$A60,Måned!$C$5:$C$2000,MONTH(O$5+3))=0,"",MAX(1,MIN(5,SUMIFS(Måned!$H$5:$H$2000,Måned!$A$5:$A$2000,$A60,Måned!$C$5:$C$2000,MONTH(O$5+3))+SUMPRODUCT((Vinduer!$A$5:$A$300=$A60)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0" s="19">
        <f>IF($A60="","",IF(COUNTIFS(Måned!$A$5:$A$2000,$A60,Måned!$C$5:$C$2000,MONTH(P$5+3))=0,"",MAX(1,MIN(5,SUMIFS(Måned!$H$5:$H$2000,Måned!$A$5:$A$2000,$A60,Måned!$C$5:$C$2000,MONTH(P$5+3))+SUMPRODUCT((Vinduer!$A$5:$A$300=$A60)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0" s="19">
        <f>IF($A60="","",IF(COUNTIFS(Måned!$A$5:$A$2000,$A60,Måned!$C$5:$C$2000,MONTH(Q$5+3))=0,"",MAX(1,MIN(5,SUMIFS(Måned!$H$5:$H$2000,Måned!$A$5:$A$2000,$A60,Måned!$C$5:$C$2000,MONTH(Q$5+3))+SUMPRODUCT((Vinduer!$A$5:$A$300=$A60)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0" s="19">
        <f>IF($A60="","",IF(COUNTIFS(Måned!$A$5:$A$2000,$A60,Måned!$C$5:$C$2000,MONTH(R$5+3))=0,"",MAX(1,MIN(5,SUMIFS(Måned!$H$5:$H$2000,Måned!$A$5:$A$2000,$A60,Måned!$C$5:$C$2000,MONTH(R$5+3))+SUMPRODUCT((Vinduer!$A$5:$A$300=$A60)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0" s="19">
        <f>IF($A60="","",IF(COUNTIFS(Måned!$A$5:$A$2000,$A60,Måned!$C$5:$C$2000,MONTH(S$5+3))=0,"",MAX(1,MIN(5,SUMIFS(Måned!$H$5:$H$2000,Måned!$A$5:$A$2000,$A60,Måned!$C$5:$C$2000,MONTH(S$5+3))+SUMPRODUCT((Vinduer!$A$5:$A$300=$A60)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0" s="19">
        <f>IF($A60="","",IF(COUNTIFS(Måned!$A$5:$A$2000,$A60,Måned!$C$5:$C$2000,MONTH(T$5+3))=0,"",MAX(1,MIN(5,SUMIFS(Måned!$H$5:$H$2000,Måned!$A$5:$A$2000,$A60,Måned!$C$5:$C$2000,MONTH(T$5+3))+SUMPRODUCT((Vinduer!$A$5:$A$300=$A60)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0" s="19">
        <f>IF($A60="","",IF(COUNTIFS(Måned!$A$5:$A$2000,$A60,Måned!$C$5:$C$2000,MONTH(U$5+3))=0,"",MAX(1,MIN(5,SUMIFS(Måned!$H$5:$H$2000,Måned!$A$5:$A$2000,$A60,Måned!$C$5:$C$2000,MONTH(U$5+3))+SUMPRODUCT((Vinduer!$A$5:$A$300=$A60)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0" s="19">
        <f>IF($A60="","",IF(COUNTIFS(Måned!$A$5:$A$2000,$A60,Måned!$C$5:$C$2000,MONTH(V$5+3))=0,"",MAX(1,MIN(5,SUMIFS(Måned!$H$5:$H$2000,Måned!$A$5:$A$2000,$A60,Måned!$C$5:$C$2000,MONTH(V$5+3))+SUMPRODUCT((Vinduer!$A$5:$A$300=$A60)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0" s="19">
        <f>IF($A60="","",IF(COUNTIFS(Måned!$A$5:$A$2000,$A60,Måned!$C$5:$C$2000,MONTH(W$5+3))=0,"",MAX(1,MIN(5,SUMIFS(Måned!$H$5:$H$2000,Måned!$A$5:$A$2000,$A60,Måned!$C$5:$C$2000,MONTH(W$5+3))+SUMPRODUCT((Vinduer!$A$5:$A$300=$A60)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0" s="19">
        <f>IF($A60="","",IF(COUNTIFS(Måned!$A$5:$A$2000,$A60,Måned!$C$5:$C$2000,MONTH(X$5+3))=0,"",MAX(1,MIN(5,SUMIFS(Måned!$H$5:$H$2000,Måned!$A$5:$A$2000,$A60,Måned!$C$5:$C$2000,MONTH(X$5+3))+SUMPRODUCT((Vinduer!$A$5:$A$300=$A60)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0" s="19">
        <f>IF($A60="","",IF(COUNTIFS(Måned!$A$5:$A$2000,$A60,Måned!$C$5:$C$2000,MONTH(Y$5+3))=0,"",MAX(1,MIN(5,SUMIFS(Måned!$H$5:$H$2000,Måned!$A$5:$A$2000,$A60,Måned!$C$5:$C$2000,MONTH(Y$5+3))+SUMPRODUCT((Vinduer!$A$5:$A$300=$A60)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0" s="19">
        <f>IF($A60="","",IF(COUNTIFS(Måned!$A$5:$A$2000,$A60,Måned!$C$5:$C$2000,MONTH(Z$5+3))=0,"",MAX(1,MIN(5,SUMIFS(Måned!$H$5:$H$2000,Måned!$A$5:$A$2000,$A60,Måned!$C$5:$C$2000,MONTH(Z$5+3))+SUMPRODUCT((Vinduer!$A$5:$A$300=$A60)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0" s="19">
        <f>IF($A60="","",IF(COUNTIFS(Måned!$A$5:$A$2000,$A60,Måned!$C$5:$C$2000,MONTH(AA$5+3))=0,"",MAX(1,MIN(5,SUMIFS(Måned!$H$5:$H$2000,Måned!$A$5:$A$2000,$A60,Måned!$C$5:$C$2000,MONTH(AA$5+3))+SUMPRODUCT((Vinduer!$A$5:$A$300=$A60)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0" s="19">
        <f>IF($A60="","",IF(COUNTIFS(Måned!$A$5:$A$2000,$A60,Måned!$C$5:$C$2000,MONTH(AB$5+3))=0,"",MAX(1,MIN(5,SUMIFS(Måned!$H$5:$H$2000,Måned!$A$5:$A$2000,$A60,Måned!$C$5:$C$2000,MONTH(AB$5+3))+SUMPRODUCT((Vinduer!$A$5:$A$300=$A60)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0" s="19">
        <f>IF($A60="","",IF(COUNTIFS(Måned!$A$5:$A$2000,$A60,Måned!$C$5:$C$2000,MONTH(AC$5+3))=0,"",MAX(1,MIN(5,SUMIFS(Måned!$H$5:$H$2000,Måned!$A$5:$A$2000,$A60,Måned!$C$5:$C$2000,MONTH(AC$5+3))+SUMPRODUCT((Vinduer!$A$5:$A$300=$A60)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0" s="19">
        <f>IF($A60="","",IF(COUNTIFS(Måned!$A$5:$A$2000,$A60,Måned!$C$5:$C$2000,MONTH(AD$5+3))=0,"",MAX(1,MIN(5,SUMIFS(Måned!$H$5:$H$2000,Måned!$A$5:$A$2000,$A60,Måned!$C$5:$C$2000,MONTH(AD$5+3))+SUMPRODUCT((Vinduer!$A$5:$A$300=$A60)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0" s="19">
        <f>IF($A60="","",IF(COUNTIFS(Måned!$A$5:$A$2000,$A60,Måned!$C$5:$C$2000,MONTH(AE$5+3))=0,"",MAX(1,MIN(5,SUMIFS(Måned!$H$5:$H$2000,Måned!$A$5:$A$2000,$A60,Måned!$C$5:$C$2000,MONTH(AE$5+3))+SUMPRODUCT((Vinduer!$A$5:$A$300=$A60)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0" s="19">
        <f>IF($A60="","",IF(COUNTIFS(Måned!$A$5:$A$2000,$A60,Måned!$C$5:$C$2000,MONTH(AF$5+3))=0,"",MAX(1,MIN(5,SUMIFS(Måned!$H$5:$H$2000,Måned!$A$5:$A$2000,$A60,Måned!$C$5:$C$2000,MONTH(AF$5+3))+SUMPRODUCT((Vinduer!$A$5:$A$300=$A60)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0" s="19">
        <f>IF($A60="","",IF(COUNTIFS(Måned!$A$5:$A$2000,$A60,Måned!$C$5:$C$2000,MONTH(AG$5+3))=0,"",MAX(1,MIN(5,SUMIFS(Måned!$H$5:$H$2000,Måned!$A$5:$A$2000,$A60,Måned!$C$5:$C$2000,MONTH(AG$5+3))+SUMPRODUCT((Vinduer!$A$5:$A$300=$A60)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0" s="19">
        <f>IF($A60="","",IF(COUNTIFS(Måned!$A$5:$A$2000,$A60,Måned!$C$5:$C$2000,MONTH(AH$5+3))=0,"",MAX(1,MIN(5,SUMIFS(Måned!$H$5:$H$2000,Måned!$A$5:$A$2000,$A60,Måned!$C$5:$C$2000,MONTH(AH$5+3))+SUMPRODUCT((Vinduer!$A$5:$A$300=$A60)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0" s="19">
        <f>IF($A60="","",IF(COUNTIFS(Måned!$A$5:$A$2000,$A60,Måned!$C$5:$C$2000,MONTH(AI$5+3))=0,"",MAX(1,MIN(5,SUMIFS(Måned!$H$5:$H$2000,Måned!$A$5:$A$2000,$A60,Måned!$C$5:$C$2000,MONTH(AI$5+3))+SUMPRODUCT((Vinduer!$A$5:$A$300=$A60)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0" s="19">
        <f>IF($A60="","",IF(COUNTIFS(Måned!$A$5:$A$2000,$A60,Måned!$C$5:$C$2000,MONTH(AJ$5+3))=0,"",MAX(1,MIN(5,SUMIFS(Måned!$H$5:$H$2000,Måned!$A$5:$A$2000,$A60,Måned!$C$5:$C$2000,MONTH(AJ$5+3))+SUMPRODUCT((Vinduer!$A$5:$A$300=$A60)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0" s="19">
        <f>IF($A60="","",IF(COUNTIFS(Måned!$A$5:$A$2000,$A60,Måned!$C$5:$C$2000,MONTH(AK$5+3))=0,"",MAX(1,MIN(5,SUMIFS(Måned!$H$5:$H$2000,Måned!$A$5:$A$2000,$A60,Måned!$C$5:$C$2000,MONTH(AK$5+3))+SUMPRODUCT((Vinduer!$A$5:$A$300=$A60)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0" s="19">
        <f>IF($A60="","",IF(COUNTIFS(Måned!$A$5:$A$2000,$A60,Måned!$C$5:$C$2000,MONTH(AL$5+3))=0,"",MAX(1,MIN(5,SUMIFS(Måned!$H$5:$H$2000,Måned!$A$5:$A$2000,$A60,Måned!$C$5:$C$2000,MONTH(AL$5+3))+SUMPRODUCT((Vinduer!$A$5:$A$300=$A60)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0" s="19">
        <f>IF($A60="","",IF(COUNTIFS(Måned!$A$5:$A$2000,$A60,Måned!$C$5:$C$2000,MONTH(AM$5+3))=0,"",MAX(1,MIN(5,SUMIFS(Måned!$H$5:$H$2000,Måned!$A$5:$A$2000,$A60,Måned!$C$5:$C$2000,MONTH(AM$5+3))+SUMPRODUCT((Vinduer!$A$5:$A$300=$A60)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0" s="19">
        <f>IF($A60="","",IF(COUNTIFS(Måned!$A$5:$A$2000,$A60,Måned!$C$5:$C$2000,MONTH(AN$5+3))=0,"",MAX(1,MIN(5,SUMIFS(Måned!$H$5:$H$2000,Måned!$A$5:$A$2000,$A60,Måned!$C$5:$C$2000,MONTH(AN$5+3))+SUMPRODUCT((Vinduer!$A$5:$A$300=$A60)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0" s="19">
        <f>IF($A60="","",IF(COUNTIFS(Måned!$A$5:$A$2000,$A60,Måned!$C$5:$C$2000,MONTH(AO$5+3))=0,"",MAX(1,MIN(5,SUMIFS(Måned!$H$5:$H$2000,Måned!$A$5:$A$2000,$A60,Måned!$C$5:$C$2000,MONTH(AO$5+3))+SUMPRODUCT((Vinduer!$A$5:$A$300=$A60)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0" s="19">
        <f>IF($A60="","",IF(COUNTIFS(Måned!$A$5:$A$2000,$A60,Måned!$C$5:$C$2000,MONTH(AP$5+3))=0,"",MAX(1,MIN(5,SUMIFS(Måned!$H$5:$H$2000,Måned!$A$5:$A$2000,$A60,Måned!$C$5:$C$2000,MONTH(AP$5+3))+SUMPRODUCT((Vinduer!$A$5:$A$300=$A60)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0" s="19">
        <f>IF($A60="","",IF(COUNTIFS(Måned!$A$5:$A$2000,$A60,Måned!$C$5:$C$2000,MONTH(AQ$5+3))=0,"",MAX(1,MIN(5,SUMIFS(Måned!$H$5:$H$2000,Måned!$A$5:$A$2000,$A60,Måned!$C$5:$C$2000,MONTH(AQ$5+3))+SUMPRODUCT((Vinduer!$A$5:$A$300=$A60)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0" s="19">
        <f>IF($A60="","",IF(COUNTIFS(Måned!$A$5:$A$2000,$A60,Måned!$C$5:$C$2000,MONTH(AR$5+3))=0,"",MAX(1,MIN(5,SUMIFS(Måned!$H$5:$H$2000,Måned!$A$5:$A$2000,$A60,Måned!$C$5:$C$2000,MONTH(AR$5+3))+SUMPRODUCT((Vinduer!$A$5:$A$300=$A60)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0" s="19">
        <f>IF($A60="","",IF(COUNTIFS(Måned!$A$5:$A$2000,$A60,Måned!$C$5:$C$2000,MONTH(AS$5+3))=0,"",MAX(1,MIN(5,SUMIFS(Måned!$H$5:$H$2000,Måned!$A$5:$A$2000,$A60,Måned!$C$5:$C$2000,MONTH(AS$5+3))+SUMPRODUCT((Vinduer!$A$5:$A$300=$A60)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0" s="19">
        <f>IF($A60="","",IF(COUNTIFS(Måned!$A$5:$A$2000,$A60,Måned!$C$5:$C$2000,MONTH(AT$5+3))=0,"",MAX(1,MIN(5,SUMIFS(Måned!$H$5:$H$2000,Måned!$A$5:$A$2000,$A60,Måned!$C$5:$C$2000,MONTH(AT$5+3))+SUMPRODUCT((Vinduer!$A$5:$A$300=$A60)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0" s="19">
        <f>IF($A60="","",IF(COUNTIFS(Måned!$A$5:$A$2000,$A60,Måned!$C$5:$C$2000,MONTH(AU$5+3))=0,"",MAX(1,MIN(5,SUMIFS(Måned!$H$5:$H$2000,Måned!$A$5:$A$2000,$A60,Måned!$C$5:$C$2000,MONTH(AU$5+3))+SUMPRODUCT((Vinduer!$A$5:$A$300=$A60)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0" s="19">
        <f>IF($A60="","",IF(COUNTIFS(Måned!$A$5:$A$2000,$A60,Måned!$C$5:$C$2000,MONTH(AV$5+3))=0,"",MAX(1,MIN(5,SUMIFS(Måned!$H$5:$H$2000,Måned!$A$5:$A$2000,$A60,Måned!$C$5:$C$2000,MONTH(AV$5+3))+SUMPRODUCT((Vinduer!$A$5:$A$300=$A60)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0" s="19">
        <f>IF($A60="","",IF(COUNTIFS(Måned!$A$5:$A$2000,$A60,Måned!$C$5:$C$2000,MONTH(AW$5+3))=0,"",MAX(1,MIN(5,SUMIFS(Måned!$H$5:$H$2000,Måned!$A$5:$A$2000,$A60,Måned!$C$5:$C$2000,MONTH(AW$5+3))+SUMPRODUCT((Vinduer!$A$5:$A$300=$A60)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0" s="19">
        <f>IF($A60="","",IF(COUNTIFS(Måned!$A$5:$A$2000,$A60,Måned!$C$5:$C$2000,MONTH(AX$5+3))=0,"",MAX(1,MIN(5,SUMIFS(Måned!$H$5:$H$2000,Måned!$A$5:$A$2000,$A60,Måned!$C$5:$C$2000,MONTH(AX$5+3))+SUMPRODUCT((Vinduer!$A$5:$A$300=$A60)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0" s="19">
        <f>IF($A60="","",IF(COUNTIFS(Måned!$A$5:$A$2000,$A60,Måned!$C$5:$C$2000,MONTH(AY$5+3))=0,"",MAX(1,MIN(5,SUMIFS(Måned!$H$5:$H$2000,Måned!$A$5:$A$2000,$A60,Måned!$C$5:$C$2000,MONTH(AY$5+3))+SUMPRODUCT((Vinduer!$A$5:$A$300=$A60)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0" s="19">
        <f>IF($A60="","",IF(COUNTIFS(Måned!$A$5:$A$2000,$A60,Måned!$C$5:$C$2000,MONTH(AZ$5+3))=0,"",MAX(1,MIN(5,SUMIFS(Måned!$H$5:$H$2000,Måned!$A$5:$A$2000,$A60,Måned!$C$5:$C$2000,MONTH(AZ$5+3))+SUMPRODUCT((Vinduer!$A$5:$A$300=$A60)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0" s="19">
        <f>IF($A60="","",IF(COUNTIFS(Måned!$A$5:$A$2000,$A60,Måned!$C$5:$C$2000,MONTH(BA$5+3))=0,"",MAX(1,MIN(5,SUMIFS(Måned!$H$5:$H$2000,Måned!$A$5:$A$2000,$A60,Måned!$C$5:$C$2000,MONTH(BA$5+3))+SUMPRODUCT((Vinduer!$A$5:$A$300=$A60)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0" s="19">
        <f>IF($A60="","",IF(COUNTIFS(Måned!$A$5:$A$2000,$A60,Måned!$C$5:$C$2000,MONTH(BB$5+3))=0,"",MAX(1,MIN(5,SUMIFS(Måned!$H$5:$H$2000,Måned!$A$5:$A$2000,$A60,Måned!$C$5:$C$2000,MONTH(BB$5+3))+SUMPRODUCT((Vinduer!$A$5:$A$300=$A60)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0" s="19">
        <f>IF($A60="","",IF(COUNTIFS(Måned!$A$5:$A$2000,$A60,Måned!$C$5:$C$2000,MONTH(BC$5+3))=0,"",MAX(1,MIN(5,SUMIFS(Måned!$H$5:$H$2000,Måned!$A$5:$A$2000,$A60,Måned!$C$5:$C$2000,MONTH(BC$5+3))+SUMPRODUCT((Vinduer!$A$5:$A$300=$A60)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0" s="19">
        <f>IF($A60="","",IF(COUNTIFS(Måned!$A$5:$A$2000,$A60,Måned!$C$5:$C$2000,MONTH(BD$5+3))=0,"",MAX(1,MIN(5,SUMIFS(Måned!$H$5:$H$2000,Måned!$A$5:$A$2000,$A60,Måned!$C$5:$C$2000,MONTH(BD$5+3))+SUMPRODUCT((Vinduer!$A$5:$A$300=$A60)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0" s="19">
        <f>IF($A60="","",IF(COUNTIFS(Måned!$A$5:$A$2000,$A60,Måned!$C$5:$C$2000,MONTH(BE$5+3))=0,"",MAX(1,MIN(5,SUMIFS(Måned!$H$5:$H$2000,Måned!$A$5:$A$2000,$A60,Måned!$C$5:$C$2000,MONTH(BE$5+3))+SUMPRODUCT((Vinduer!$A$5:$A$300=$A60)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1">
      <c r="A61" s="5">
        <f>IF(Destinasjoner!A57="","",Destinasjoner!A57)</f>
        <v/>
      </c>
      <c r="B61" s="5">
        <f>IF(A61="","",Destinasjoner!E57)</f>
        <v/>
      </c>
      <c r="C61" s="5">
        <f>IF(A61="","",Destinasjoner!B57)</f>
        <v/>
      </c>
      <c r="D61" s="17">
        <f>IFERROR(SUMIFS(F61:BE61,$F$7:$BE$7,"x")/COUNTIFS($F$7:$BE$7,"x",F61:BE61,"&gt;0"),"")</f>
        <v/>
      </c>
      <c r="E61" s="18">
        <f>IF(D61="","",_xlfn.MINIFS(F61:BE61,$F$7:$BE$7,"x",F61:BE61,"&gt;0"))</f>
        <v/>
      </c>
      <c r="F61" s="19">
        <f>IF($A61="","",IF(COUNTIFS(Måned!$A$5:$A$2000,$A61,Måned!$C$5:$C$2000,MONTH(F$5+3))=0,"",MAX(1,MIN(5,SUMIFS(Måned!$H$5:$H$2000,Måned!$A$5:$A$2000,$A61,Måned!$C$5:$C$2000,MONTH(F$5+3))+SUMPRODUCT((Vinduer!$A$5:$A$300=$A61)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1" s="19">
        <f>IF($A61="","",IF(COUNTIFS(Måned!$A$5:$A$2000,$A61,Måned!$C$5:$C$2000,MONTH(G$5+3))=0,"",MAX(1,MIN(5,SUMIFS(Måned!$H$5:$H$2000,Måned!$A$5:$A$2000,$A61,Måned!$C$5:$C$2000,MONTH(G$5+3))+SUMPRODUCT((Vinduer!$A$5:$A$300=$A61)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1" s="19">
        <f>IF($A61="","",IF(COUNTIFS(Måned!$A$5:$A$2000,$A61,Måned!$C$5:$C$2000,MONTH(H$5+3))=0,"",MAX(1,MIN(5,SUMIFS(Måned!$H$5:$H$2000,Måned!$A$5:$A$2000,$A61,Måned!$C$5:$C$2000,MONTH(H$5+3))+SUMPRODUCT((Vinduer!$A$5:$A$300=$A61)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1" s="19">
        <f>IF($A61="","",IF(COUNTIFS(Måned!$A$5:$A$2000,$A61,Måned!$C$5:$C$2000,MONTH(I$5+3))=0,"",MAX(1,MIN(5,SUMIFS(Måned!$H$5:$H$2000,Måned!$A$5:$A$2000,$A61,Måned!$C$5:$C$2000,MONTH(I$5+3))+SUMPRODUCT((Vinduer!$A$5:$A$300=$A61)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1" s="19">
        <f>IF($A61="","",IF(COUNTIFS(Måned!$A$5:$A$2000,$A61,Måned!$C$5:$C$2000,MONTH(J$5+3))=0,"",MAX(1,MIN(5,SUMIFS(Måned!$H$5:$H$2000,Måned!$A$5:$A$2000,$A61,Måned!$C$5:$C$2000,MONTH(J$5+3))+SUMPRODUCT((Vinduer!$A$5:$A$300=$A61)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1" s="19">
        <f>IF($A61="","",IF(COUNTIFS(Måned!$A$5:$A$2000,$A61,Måned!$C$5:$C$2000,MONTH(K$5+3))=0,"",MAX(1,MIN(5,SUMIFS(Måned!$H$5:$H$2000,Måned!$A$5:$A$2000,$A61,Måned!$C$5:$C$2000,MONTH(K$5+3))+SUMPRODUCT((Vinduer!$A$5:$A$300=$A61)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1" s="19">
        <f>IF($A61="","",IF(COUNTIFS(Måned!$A$5:$A$2000,$A61,Måned!$C$5:$C$2000,MONTH(L$5+3))=0,"",MAX(1,MIN(5,SUMIFS(Måned!$H$5:$H$2000,Måned!$A$5:$A$2000,$A61,Måned!$C$5:$C$2000,MONTH(L$5+3))+SUMPRODUCT((Vinduer!$A$5:$A$300=$A61)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1" s="19">
        <f>IF($A61="","",IF(COUNTIFS(Måned!$A$5:$A$2000,$A61,Måned!$C$5:$C$2000,MONTH(M$5+3))=0,"",MAX(1,MIN(5,SUMIFS(Måned!$H$5:$H$2000,Måned!$A$5:$A$2000,$A61,Måned!$C$5:$C$2000,MONTH(M$5+3))+SUMPRODUCT((Vinduer!$A$5:$A$300=$A61)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1" s="19">
        <f>IF($A61="","",IF(COUNTIFS(Måned!$A$5:$A$2000,$A61,Måned!$C$5:$C$2000,MONTH(N$5+3))=0,"",MAX(1,MIN(5,SUMIFS(Måned!$H$5:$H$2000,Måned!$A$5:$A$2000,$A61,Måned!$C$5:$C$2000,MONTH(N$5+3))+SUMPRODUCT((Vinduer!$A$5:$A$300=$A61)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1" s="19">
        <f>IF($A61="","",IF(COUNTIFS(Måned!$A$5:$A$2000,$A61,Måned!$C$5:$C$2000,MONTH(O$5+3))=0,"",MAX(1,MIN(5,SUMIFS(Måned!$H$5:$H$2000,Måned!$A$5:$A$2000,$A61,Måned!$C$5:$C$2000,MONTH(O$5+3))+SUMPRODUCT((Vinduer!$A$5:$A$300=$A61)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1" s="19">
        <f>IF($A61="","",IF(COUNTIFS(Måned!$A$5:$A$2000,$A61,Måned!$C$5:$C$2000,MONTH(P$5+3))=0,"",MAX(1,MIN(5,SUMIFS(Måned!$H$5:$H$2000,Måned!$A$5:$A$2000,$A61,Måned!$C$5:$C$2000,MONTH(P$5+3))+SUMPRODUCT((Vinduer!$A$5:$A$300=$A61)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1" s="19">
        <f>IF($A61="","",IF(COUNTIFS(Måned!$A$5:$A$2000,$A61,Måned!$C$5:$C$2000,MONTH(Q$5+3))=0,"",MAX(1,MIN(5,SUMIFS(Måned!$H$5:$H$2000,Måned!$A$5:$A$2000,$A61,Måned!$C$5:$C$2000,MONTH(Q$5+3))+SUMPRODUCT((Vinduer!$A$5:$A$300=$A61)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1" s="19">
        <f>IF($A61="","",IF(COUNTIFS(Måned!$A$5:$A$2000,$A61,Måned!$C$5:$C$2000,MONTH(R$5+3))=0,"",MAX(1,MIN(5,SUMIFS(Måned!$H$5:$H$2000,Måned!$A$5:$A$2000,$A61,Måned!$C$5:$C$2000,MONTH(R$5+3))+SUMPRODUCT((Vinduer!$A$5:$A$300=$A61)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1" s="19">
        <f>IF($A61="","",IF(COUNTIFS(Måned!$A$5:$A$2000,$A61,Måned!$C$5:$C$2000,MONTH(S$5+3))=0,"",MAX(1,MIN(5,SUMIFS(Måned!$H$5:$H$2000,Måned!$A$5:$A$2000,$A61,Måned!$C$5:$C$2000,MONTH(S$5+3))+SUMPRODUCT((Vinduer!$A$5:$A$300=$A61)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1" s="19">
        <f>IF($A61="","",IF(COUNTIFS(Måned!$A$5:$A$2000,$A61,Måned!$C$5:$C$2000,MONTH(T$5+3))=0,"",MAX(1,MIN(5,SUMIFS(Måned!$H$5:$H$2000,Måned!$A$5:$A$2000,$A61,Måned!$C$5:$C$2000,MONTH(T$5+3))+SUMPRODUCT((Vinduer!$A$5:$A$300=$A61)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1" s="19">
        <f>IF($A61="","",IF(COUNTIFS(Måned!$A$5:$A$2000,$A61,Måned!$C$5:$C$2000,MONTH(U$5+3))=0,"",MAX(1,MIN(5,SUMIFS(Måned!$H$5:$H$2000,Måned!$A$5:$A$2000,$A61,Måned!$C$5:$C$2000,MONTH(U$5+3))+SUMPRODUCT((Vinduer!$A$5:$A$300=$A61)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1" s="19">
        <f>IF($A61="","",IF(COUNTIFS(Måned!$A$5:$A$2000,$A61,Måned!$C$5:$C$2000,MONTH(V$5+3))=0,"",MAX(1,MIN(5,SUMIFS(Måned!$H$5:$H$2000,Måned!$A$5:$A$2000,$A61,Måned!$C$5:$C$2000,MONTH(V$5+3))+SUMPRODUCT((Vinduer!$A$5:$A$300=$A61)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1" s="19">
        <f>IF($A61="","",IF(COUNTIFS(Måned!$A$5:$A$2000,$A61,Måned!$C$5:$C$2000,MONTH(W$5+3))=0,"",MAX(1,MIN(5,SUMIFS(Måned!$H$5:$H$2000,Måned!$A$5:$A$2000,$A61,Måned!$C$5:$C$2000,MONTH(W$5+3))+SUMPRODUCT((Vinduer!$A$5:$A$300=$A61)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1" s="19">
        <f>IF($A61="","",IF(COUNTIFS(Måned!$A$5:$A$2000,$A61,Måned!$C$5:$C$2000,MONTH(X$5+3))=0,"",MAX(1,MIN(5,SUMIFS(Måned!$H$5:$H$2000,Måned!$A$5:$A$2000,$A61,Måned!$C$5:$C$2000,MONTH(X$5+3))+SUMPRODUCT((Vinduer!$A$5:$A$300=$A61)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1" s="19">
        <f>IF($A61="","",IF(COUNTIFS(Måned!$A$5:$A$2000,$A61,Måned!$C$5:$C$2000,MONTH(Y$5+3))=0,"",MAX(1,MIN(5,SUMIFS(Måned!$H$5:$H$2000,Måned!$A$5:$A$2000,$A61,Måned!$C$5:$C$2000,MONTH(Y$5+3))+SUMPRODUCT((Vinduer!$A$5:$A$300=$A61)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1" s="19">
        <f>IF($A61="","",IF(COUNTIFS(Måned!$A$5:$A$2000,$A61,Måned!$C$5:$C$2000,MONTH(Z$5+3))=0,"",MAX(1,MIN(5,SUMIFS(Måned!$H$5:$H$2000,Måned!$A$5:$A$2000,$A61,Måned!$C$5:$C$2000,MONTH(Z$5+3))+SUMPRODUCT((Vinduer!$A$5:$A$300=$A61)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1" s="19">
        <f>IF($A61="","",IF(COUNTIFS(Måned!$A$5:$A$2000,$A61,Måned!$C$5:$C$2000,MONTH(AA$5+3))=0,"",MAX(1,MIN(5,SUMIFS(Måned!$H$5:$H$2000,Måned!$A$5:$A$2000,$A61,Måned!$C$5:$C$2000,MONTH(AA$5+3))+SUMPRODUCT((Vinduer!$A$5:$A$300=$A61)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1" s="19">
        <f>IF($A61="","",IF(COUNTIFS(Måned!$A$5:$A$2000,$A61,Måned!$C$5:$C$2000,MONTH(AB$5+3))=0,"",MAX(1,MIN(5,SUMIFS(Måned!$H$5:$H$2000,Måned!$A$5:$A$2000,$A61,Måned!$C$5:$C$2000,MONTH(AB$5+3))+SUMPRODUCT((Vinduer!$A$5:$A$300=$A61)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1" s="19">
        <f>IF($A61="","",IF(COUNTIFS(Måned!$A$5:$A$2000,$A61,Måned!$C$5:$C$2000,MONTH(AC$5+3))=0,"",MAX(1,MIN(5,SUMIFS(Måned!$H$5:$H$2000,Måned!$A$5:$A$2000,$A61,Måned!$C$5:$C$2000,MONTH(AC$5+3))+SUMPRODUCT((Vinduer!$A$5:$A$300=$A61)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1" s="19">
        <f>IF($A61="","",IF(COUNTIFS(Måned!$A$5:$A$2000,$A61,Måned!$C$5:$C$2000,MONTH(AD$5+3))=0,"",MAX(1,MIN(5,SUMIFS(Måned!$H$5:$H$2000,Måned!$A$5:$A$2000,$A61,Måned!$C$5:$C$2000,MONTH(AD$5+3))+SUMPRODUCT((Vinduer!$A$5:$A$300=$A61)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1" s="19">
        <f>IF($A61="","",IF(COUNTIFS(Måned!$A$5:$A$2000,$A61,Måned!$C$5:$C$2000,MONTH(AE$5+3))=0,"",MAX(1,MIN(5,SUMIFS(Måned!$H$5:$H$2000,Måned!$A$5:$A$2000,$A61,Måned!$C$5:$C$2000,MONTH(AE$5+3))+SUMPRODUCT((Vinduer!$A$5:$A$300=$A61)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1" s="19">
        <f>IF($A61="","",IF(COUNTIFS(Måned!$A$5:$A$2000,$A61,Måned!$C$5:$C$2000,MONTH(AF$5+3))=0,"",MAX(1,MIN(5,SUMIFS(Måned!$H$5:$H$2000,Måned!$A$5:$A$2000,$A61,Måned!$C$5:$C$2000,MONTH(AF$5+3))+SUMPRODUCT((Vinduer!$A$5:$A$300=$A61)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1" s="19">
        <f>IF($A61="","",IF(COUNTIFS(Måned!$A$5:$A$2000,$A61,Måned!$C$5:$C$2000,MONTH(AG$5+3))=0,"",MAX(1,MIN(5,SUMIFS(Måned!$H$5:$H$2000,Måned!$A$5:$A$2000,$A61,Måned!$C$5:$C$2000,MONTH(AG$5+3))+SUMPRODUCT((Vinduer!$A$5:$A$300=$A61)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1" s="19">
        <f>IF($A61="","",IF(COUNTIFS(Måned!$A$5:$A$2000,$A61,Måned!$C$5:$C$2000,MONTH(AH$5+3))=0,"",MAX(1,MIN(5,SUMIFS(Måned!$H$5:$H$2000,Måned!$A$5:$A$2000,$A61,Måned!$C$5:$C$2000,MONTH(AH$5+3))+SUMPRODUCT((Vinduer!$A$5:$A$300=$A61)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1" s="19">
        <f>IF($A61="","",IF(COUNTIFS(Måned!$A$5:$A$2000,$A61,Måned!$C$5:$C$2000,MONTH(AI$5+3))=0,"",MAX(1,MIN(5,SUMIFS(Måned!$H$5:$H$2000,Måned!$A$5:$A$2000,$A61,Måned!$C$5:$C$2000,MONTH(AI$5+3))+SUMPRODUCT((Vinduer!$A$5:$A$300=$A61)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1" s="19">
        <f>IF($A61="","",IF(COUNTIFS(Måned!$A$5:$A$2000,$A61,Måned!$C$5:$C$2000,MONTH(AJ$5+3))=0,"",MAX(1,MIN(5,SUMIFS(Måned!$H$5:$H$2000,Måned!$A$5:$A$2000,$A61,Måned!$C$5:$C$2000,MONTH(AJ$5+3))+SUMPRODUCT((Vinduer!$A$5:$A$300=$A61)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1" s="19">
        <f>IF($A61="","",IF(COUNTIFS(Måned!$A$5:$A$2000,$A61,Måned!$C$5:$C$2000,MONTH(AK$5+3))=0,"",MAX(1,MIN(5,SUMIFS(Måned!$H$5:$H$2000,Måned!$A$5:$A$2000,$A61,Måned!$C$5:$C$2000,MONTH(AK$5+3))+SUMPRODUCT((Vinduer!$A$5:$A$300=$A61)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1" s="19">
        <f>IF($A61="","",IF(COUNTIFS(Måned!$A$5:$A$2000,$A61,Måned!$C$5:$C$2000,MONTH(AL$5+3))=0,"",MAX(1,MIN(5,SUMIFS(Måned!$H$5:$H$2000,Måned!$A$5:$A$2000,$A61,Måned!$C$5:$C$2000,MONTH(AL$5+3))+SUMPRODUCT((Vinduer!$A$5:$A$300=$A61)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1" s="19">
        <f>IF($A61="","",IF(COUNTIFS(Måned!$A$5:$A$2000,$A61,Måned!$C$5:$C$2000,MONTH(AM$5+3))=0,"",MAX(1,MIN(5,SUMIFS(Måned!$H$5:$H$2000,Måned!$A$5:$A$2000,$A61,Måned!$C$5:$C$2000,MONTH(AM$5+3))+SUMPRODUCT((Vinduer!$A$5:$A$300=$A61)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1" s="19">
        <f>IF($A61="","",IF(COUNTIFS(Måned!$A$5:$A$2000,$A61,Måned!$C$5:$C$2000,MONTH(AN$5+3))=0,"",MAX(1,MIN(5,SUMIFS(Måned!$H$5:$H$2000,Måned!$A$5:$A$2000,$A61,Måned!$C$5:$C$2000,MONTH(AN$5+3))+SUMPRODUCT((Vinduer!$A$5:$A$300=$A61)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1" s="19">
        <f>IF($A61="","",IF(COUNTIFS(Måned!$A$5:$A$2000,$A61,Måned!$C$5:$C$2000,MONTH(AO$5+3))=0,"",MAX(1,MIN(5,SUMIFS(Måned!$H$5:$H$2000,Måned!$A$5:$A$2000,$A61,Måned!$C$5:$C$2000,MONTH(AO$5+3))+SUMPRODUCT((Vinduer!$A$5:$A$300=$A61)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1" s="19">
        <f>IF($A61="","",IF(COUNTIFS(Måned!$A$5:$A$2000,$A61,Måned!$C$5:$C$2000,MONTH(AP$5+3))=0,"",MAX(1,MIN(5,SUMIFS(Måned!$H$5:$H$2000,Måned!$A$5:$A$2000,$A61,Måned!$C$5:$C$2000,MONTH(AP$5+3))+SUMPRODUCT((Vinduer!$A$5:$A$300=$A61)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1" s="19">
        <f>IF($A61="","",IF(COUNTIFS(Måned!$A$5:$A$2000,$A61,Måned!$C$5:$C$2000,MONTH(AQ$5+3))=0,"",MAX(1,MIN(5,SUMIFS(Måned!$H$5:$H$2000,Måned!$A$5:$A$2000,$A61,Måned!$C$5:$C$2000,MONTH(AQ$5+3))+SUMPRODUCT((Vinduer!$A$5:$A$300=$A61)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1" s="19">
        <f>IF($A61="","",IF(COUNTIFS(Måned!$A$5:$A$2000,$A61,Måned!$C$5:$C$2000,MONTH(AR$5+3))=0,"",MAX(1,MIN(5,SUMIFS(Måned!$H$5:$H$2000,Måned!$A$5:$A$2000,$A61,Måned!$C$5:$C$2000,MONTH(AR$5+3))+SUMPRODUCT((Vinduer!$A$5:$A$300=$A61)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1" s="19">
        <f>IF($A61="","",IF(COUNTIFS(Måned!$A$5:$A$2000,$A61,Måned!$C$5:$C$2000,MONTH(AS$5+3))=0,"",MAX(1,MIN(5,SUMIFS(Måned!$H$5:$H$2000,Måned!$A$5:$A$2000,$A61,Måned!$C$5:$C$2000,MONTH(AS$5+3))+SUMPRODUCT((Vinduer!$A$5:$A$300=$A61)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1" s="19">
        <f>IF($A61="","",IF(COUNTIFS(Måned!$A$5:$A$2000,$A61,Måned!$C$5:$C$2000,MONTH(AT$5+3))=0,"",MAX(1,MIN(5,SUMIFS(Måned!$H$5:$H$2000,Måned!$A$5:$A$2000,$A61,Måned!$C$5:$C$2000,MONTH(AT$5+3))+SUMPRODUCT((Vinduer!$A$5:$A$300=$A61)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1" s="19">
        <f>IF($A61="","",IF(COUNTIFS(Måned!$A$5:$A$2000,$A61,Måned!$C$5:$C$2000,MONTH(AU$5+3))=0,"",MAX(1,MIN(5,SUMIFS(Måned!$H$5:$H$2000,Måned!$A$5:$A$2000,$A61,Måned!$C$5:$C$2000,MONTH(AU$5+3))+SUMPRODUCT((Vinduer!$A$5:$A$300=$A61)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1" s="19">
        <f>IF($A61="","",IF(COUNTIFS(Måned!$A$5:$A$2000,$A61,Måned!$C$5:$C$2000,MONTH(AV$5+3))=0,"",MAX(1,MIN(5,SUMIFS(Måned!$H$5:$H$2000,Måned!$A$5:$A$2000,$A61,Måned!$C$5:$C$2000,MONTH(AV$5+3))+SUMPRODUCT((Vinduer!$A$5:$A$300=$A61)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1" s="19">
        <f>IF($A61="","",IF(COUNTIFS(Måned!$A$5:$A$2000,$A61,Måned!$C$5:$C$2000,MONTH(AW$5+3))=0,"",MAX(1,MIN(5,SUMIFS(Måned!$H$5:$H$2000,Måned!$A$5:$A$2000,$A61,Måned!$C$5:$C$2000,MONTH(AW$5+3))+SUMPRODUCT((Vinduer!$A$5:$A$300=$A61)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1" s="19">
        <f>IF($A61="","",IF(COUNTIFS(Måned!$A$5:$A$2000,$A61,Måned!$C$5:$C$2000,MONTH(AX$5+3))=0,"",MAX(1,MIN(5,SUMIFS(Måned!$H$5:$H$2000,Måned!$A$5:$A$2000,$A61,Måned!$C$5:$C$2000,MONTH(AX$5+3))+SUMPRODUCT((Vinduer!$A$5:$A$300=$A61)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1" s="19">
        <f>IF($A61="","",IF(COUNTIFS(Måned!$A$5:$A$2000,$A61,Måned!$C$5:$C$2000,MONTH(AY$5+3))=0,"",MAX(1,MIN(5,SUMIFS(Måned!$H$5:$H$2000,Måned!$A$5:$A$2000,$A61,Måned!$C$5:$C$2000,MONTH(AY$5+3))+SUMPRODUCT((Vinduer!$A$5:$A$300=$A61)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1" s="19">
        <f>IF($A61="","",IF(COUNTIFS(Måned!$A$5:$A$2000,$A61,Måned!$C$5:$C$2000,MONTH(AZ$5+3))=0,"",MAX(1,MIN(5,SUMIFS(Måned!$H$5:$H$2000,Måned!$A$5:$A$2000,$A61,Måned!$C$5:$C$2000,MONTH(AZ$5+3))+SUMPRODUCT((Vinduer!$A$5:$A$300=$A61)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1" s="19">
        <f>IF($A61="","",IF(COUNTIFS(Måned!$A$5:$A$2000,$A61,Måned!$C$5:$C$2000,MONTH(BA$5+3))=0,"",MAX(1,MIN(5,SUMIFS(Måned!$H$5:$H$2000,Måned!$A$5:$A$2000,$A61,Måned!$C$5:$C$2000,MONTH(BA$5+3))+SUMPRODUCT((Vinduer!$A$5:$A$300=$A61)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1" s="19">
        <f>IF($A61="","",IF(COUNTIFS(Måned!$A$5:$A$2000,$A61,Måned!$C$5:$C$2000,MONTH(BB$5+3))=0,"",MAX(1,MIN(5,SUMIFS(Måned!$H$5:$H$2000,Måned!$A$5:$A$2000,$A61,Måned!$C$5:$C$2000,MONTH(BB$5+3))+SUMPRODUCT((Vinduer!$A$5:$A$300=$A61)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1" s="19">
        <f>IF($A61="","",IF(COUNTIFS(Måned!$A$5:$A$2000,$A61,Måned!$C$5:$C$2000,MONTH(BC$5+3))=0,"",MAX(1,MIN(5,SUMIFS(Måned!$H$5:$H$2000,Måned!$A$5:$A$2000,$A61,Måned!$C$5:$C$2000,MONTH(BC$5+3))+SUMPRODUCT((Vinduer!$A$5:$A$300=$A61)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1" s="19">
        <f>IF($A61="","",IF(COUNTIFS(Måned!$A$5:$A$2000,$A61,Måned!$C$5:$C$2000,MONTH(BD$5+3))=0,"",MAX(1,MIN(5,SUMIFS(Måned!$H$5:$H$2000,Måned!$A$5:$A$2000,$A61,Måned!$C$5:$C$2000,MONTH(BD$5+3))+SUMPRODUCT((Vinduer!$A$5:$A$300=$A61)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1" s="19">
        <f>IF($A61="","",IF(COUNTIFS(Måned!$A$5:$A$2000,$A61,Måned!$C$5:$C$2000,MONTH(BE$5+3))=0,"",MAX(1,MIN(5,SUMIFS(Måned!$H$5:$H$2000,Måned!$A$5:$A$2000,$A61,Måned!$C$5:$C$2000,MONTH(BE$5+3))+SUMPRODUCT((Vinduer!$A$5:$A$300=$A61)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2">
      <c r="A62" s="5">
        <f>IF(Destinasjoner!A58="","",Destinasjoner!A58)</f>
        <v/>
      </c>
      <c r="B62" s="5">
        <f>IF(A62="","",Destinasjoner!E58)</f>
        <v/>
      </c>
      <c r="C62" s="5">
        <f>IF(A62="","",Destinasjoner!B58)</f>
        <v/>
      </c>
      <c r="D62" s="17">
        <f>IFERROR(SUMIFS(F62:BE62,$F$7:$BE$7,"x")/COUNTIFS($F$7:$BE$7,"x",F62:BE62,"&gt;0"),"")</f>
        <v/>
      </c>
      <c r="E62" s="18">
        <f>IF(D62="","",_xlfn.MINIFS(F62:BE62,$F$7:$BE$7,"x",F62:BE62,"&gt;0"))</f>
        <v/>
      </c>
      <c r="F62" s="19">
        <f>IF($A62="","",IF(COUNTIFS(Måned!$A$5:$A$2000,$A62,Måned!$C$5:$C$2000,MONTH(F$5+3))=0,"",MAX(1,MIN(5,SUMIFS(Måned!$H$5:$H$2000,Måned!$A$5:$A$2000,$A62,Måned!$C$5:$C$2000,MONTH(F$5+3))+SUMPRODUCT((Vinduer!$A$5:$A$300=$A62)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2" s="19">
        <f>IF($A62="","",IF(COUNTIFS(Måned!$A$5:$A$2000,$A62,Måned!$C$5:$C$2000,MONTH(G$5+3))=0,"",MAX(1,MIN(5,SUMIFS(Måned!$H$5:$H$2000,Måned!$A$5:$A$2000,$A62,Måned!$C$5:$C$2000,MONTH(G$5+3))+SUMPRODUCT((Vinduer!$A$5:$A$300=$A62)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2" s="19">
        <f>IF($A62="","",IF(COUNTIFS(Måned!$A$5:$A$2000,$A62,Måned!$C$5:$C$2000,MONTH(H$5+3))=0,"",MAX(1,MIN(5,SUMIFS(Måned!$H$5:$H$2000,Måned!$A$5:$A$2000,$A62,Måned!$C$5:$C$2000,MONTH(H$5+3))+SUMPRODUCT((Vinduer!$A$5:$A$300=$A62)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2" s="19">
        <f>IF($A62="","",IF(COUNTIFS(Måned!$A$5:$A$2000,$A62,Måned!$C$5:$C$2000,MONTH(I$5+3))=0,"",MAX(1,MIN(5,SUMIFS(Måned!$H$5:$H$2000,Måned!$A$5:$A$2000,$A62,Måned!$C$5:$C$2000,MONTH(I$5+3))+SUMPRODUCT((Vinduer!$A$5:$A$300=$A62)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2" s="19">
        <f>IF($A62="","",IF(COUNTIFS(Måned!$A$5:$A$2000,$A62,Måned!$C$5:$C$2000,MONTH(J$5+3))=0,"",MAX(1,MIN(5,SUMIFS(Måned!$H$5:$H$2000,Måned!$A$5:$A$2000,$A62,Måned!$C$5:$C$2000,MONTH(J$5+3))+SUMPRODUCT((Vinduer!$A$5:$A$300=$A62)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2" s="19">
        <f>IF($A62="","",IF(COUNTIFS(Måned!$A$5:$A$2000,$A62,Måned!$C$5:$C$2000,MONTH(K$5+3))=0,"",MAX(1,MIN(5,SUMIFS(Måned!$H$5:$H$2000,Måned!$A$5:$A$2000,$A62,Måned!$C$5:$C$2000,MONTH(K$5+3))+SUMPRODUCT((Vinduer!$A$5:$A$300=$A62)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2" s="19">
        <f>IF($A62="","",IF(COUNTIFS(Måned!$A$5:$A$2000,$A62,Måned!$C$5:$C$2000,MONTH(L$5+3))=0,"",MAX(1,MIN(5,SUMIFS(Måned!$H$5:$H$2000,Måned!$A$5:$A$2000,$A62,Måned!$C$5:$C$2000,MONTH(L$5+3))+SUMPRODUCT((Vinduer!$A$5:$A$300=$A62)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2" s="19">
        <f>IF($A62="","",IF(COUNTIFS(Måned!$A$5:$A$2000,$A62,Måned!$C$5:$C$2000,MONTH(M$5+3))=0,"",MAX(1,MIN(5,SUMIFS(Måned!$H$5:$H$2000,Måned!$A$5:$A$2000,$A62,Måned!$C$5:$C$2000,MONTH(M$5+3))+SUMPRODUCT((Vinduer!$A$5:$A$300=$A62)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2" s="19">
        <f>IF($A62="","",IF(COUNTIFS(Måned!$A$5:$A$2000,$A62,Måned!$C$5:$C$2000,MONTH(N$5+3))=0,"",MAX(1,MIN(5,SUMIFS(Måned!$H$5:$H$2000,Måned!$A$5:$A$2000,$A62,Måned!$C$5:$C$2000,MONTH(N$5+3))+SUMPRODUCT((Vinduer!$A$5:$A$300=$A62)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2" s="19">
        <f>IF($A62="","",IF(COUNTIFS(Måned!$A$5:$A$2000,$A62,Måned!$C$5:$C$2000,MONTH(O$5+3))=0,"",MAX(1,MIN(5,SUMIFS(Måned!$H$5:$H$2000,Måned!$A$5:$A$2000,$A62,Måned!$C$5:$C$2000,MONTH(O$5+3))+SUMPRODUCT((Vinduer!$A$5:$A$300=$A62)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2" s="19">
        <f>IF($A62="","",IF(COUNTIFS(Måned!$A$5:$A$2000,$A62,Måned!$C$5:$C$2000,MONTH(P$5+3))=0,"",MAX(1,MIN(5,SUMIFS(Måned!$H$5:$H$2000,Måned!$A$5:$A$2000,$A62,Måned!$C$5:$C$2000,MONTH(P$5+3))+SUMPRODUCT((Vinduer!$A$5:$A$300=$A62)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2" s="19">
        <f>IF($A62="","",IF(COUNTIFS(Måned!$A$5:$A$2000,$A62,Måned!$C$5:$C$2000,MONTH(Q$5+3))=0,"",MAX(1,MIN(5,SUMIFS(Måned!$H$5:$H$2000,Måned!$A$5:$A$2000,$A62,Måned!$C$5:$C$2000,MONTH(Q$5+3))+SUMPRODUCT((Vinduer!$A$5:$A$300=$A62)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2" s="19">
        <f>IF($A62="","",IF(COUNTIFS(Måned!$A$5:$A$2000,$A62,Måned!$C$5:$C$2000,MONTH(R$5+3))=0,"",MAX(1,MIN(5,SUMIFS(Måned!$H$5:$H$2000,Måned!$A$5:$A$2000,$A62,Måned!$C$5:$C$2000,MONTH(R$5+3))+SUMPRODUCT((Vinduer!$A$5:$A$300=$A62)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2" s="19">
        <f>IF($A62="","",IF(COUNTIFS(Måned!$A$5:$A$2000,$A62,Måned!$C$5:$C$2000,MONTH(S$5+3))=0,"",MAX(1,MIN(5,SUMIFS(Måned!$H$5:$H$2000,Måned!$A$5:$A$2000,$A62,Måned!$C$5:$C$2000,MONTH(S$5+3))+SUMPRODUCT((Vinduer!$A$5:$A$300=$A62)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2" s="19">
        <f>IF($A62="","",IF(COUNTIFS(Måned!$A$5:$A$2000,$A62,Måned!$C$5:$C$2000,MONTH(T$5+3))=0,"",MAX(1,MIN(5,SUMIFS(Måned!$H$5:$H$2000,Måned!$A$5:$A$2000,$A62,Måned!$C$5:$C$2000,MONTH(T$5+3))+SUMPRODUCT((Vinduer!$A$5:$A$300=$A62)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2" s="19">
        <f>IF($A62="","",IF(COUNTIFS(Måned!$A$5:$A$2000,$A62,Måned!$C$5:$C$2000,MONTH(U$5+3))=0,"",MAX(1,MIN(5,SUMIFS(Måned!$H$5:$H$2000,Måned!$A$5:$A$2000,$A62,Måned!$C$5:$C$2000,MONTH(U$5+3))+SUMPRODUCT((Vinduer!$A$5:$A$300=$A62)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2" s="19">
        <f>IF($A62="","",IF(COUNTIFS(Måned!$A$5:$A$2000,$A62,Måned!$C$5:$C$2000,MONTH(V$5+3))=0,"",MAX(1,MIN(5,SUMIFS(Måned!$H$5:$H$2000,Måned!$A$5:$A$2000,$A62,Måned!$C$5:$C$2000,MONTH(V$5+3))+SUMPRODUCT((Vinduer!$A$5:$A$300=$A62)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2" s="19">
        <f>IF($A62="","",IF(COUNTIFS(Måned!$A$5:$A$2000,$A62,Måned!$C$5:$C$2000,MONTH(W$5+3))=0,"",MAX(1,MIN(5,SUMIFS(Måned!$H$5:$H$2000,Måned!$A$5:$A$2000,$A62,Måned!$C$5:$C$2000,MONTH(W$5+3))+SUMPRODUCT((Vinduer!$A$5:$A$300=$A62)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2" s="19">
        <f>IF($A62="","",IF(COUNTIFS(Måned!$A$5:$A$2000,$A62,Måned!$C$5:$C$2000,MONTH(X$5+3))=0,"",MAX(1,MIN(5,SUMIFS(Måned!$H$5:$H$2000,Måned!$A$5:$A$2000,$A62,Måned!$C$5:$C$2000,MONTH(X$5+3))+SUMPRODUCT((Vinduer!$A$5:$A$300=$A62)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2" s="19">
        <f>IF($A62="","",IF(COUNTIFS(Måned!$A$5:$A$2000,$A62,Måned!$C$5:$C$2000,MONTH(Y$5+3))=0,"",MAX(1,MIN(5,SUMIFS(Måned!$H$5:$H$2000,Måned!$A$5:$A$2000,$A62,Måned!$C$5:$C$2000,MONTH(Y$5+3))+SUMPRODUCT((Vinduer!$A$5:$A$300=$A62)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2" s="19">
        <f>IF($A62="","",IF(COUNTIFS(Måned!$A$5:$A$2000,$A62,Måned!$C$5:$C$2000,MONTH(Z$5+3))=0,"",MAX(1,MIN(5,SUMIFS(Måned!$H$5:$H$2000,Måned!$A$5:$A$2000,$A62,Måned!$C$5:$C$2000,MONTH(Z$5+3))+SUMPRODUCT((Vinduer!$A$5:$A$300=$A62)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2" s="19">
        <f>IF($A62="","",IF(COUNTIFS(Måned!$A$5:$A$2000,$A62,Måned!$C$5:$C$2000,MONTH(AA$5+3))=0,"",MAX(1,MIN(5,SUMIFS(Måned!$H$5:$H$2000,Måned!$A$5:$A$2000,$A62,Måned!$C$5:$C$2000,MONTH(AA$5+3))+SUMPRODUCT((Vinduer!$A$5:$A$300=$A62)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2" s="19">
        <f>IF($A62="","",IF(COUNTIFS(Måned!$A$5:$A$2000,$A62,Måned!$C$5:$C$2000,MONTH(AB$5+3))=0,"",MAX(1,MIN(5,SUMIFS(Måned!$H$5:$H$2000,Måned!$A$5:$A$2000,$A62,Måned!$C$5:$C$2000,MONTH(AB$5+3))+SUMPRODUCT((Vinduer!$A$5:$A$300=$A62)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2" s="19">
        <f>IF($A62="","",IF(COUNTIFS(Måned!$A$5:$A$2000,$A62,Måned!$C$5:$C$2000,MONTH(AC$5+3))=0,"",MAX(1,MIN(5,SUMIFS(Måned!$H$5:$H$2000,Måned!$A$5:$A$2000,$A62,Måned!$C$5:$C$2000,MONTH(AC$5+3))+SUMPRODUCT((Vinduer!$A$5:$A$300=$A62)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2" s="19">
        <f>IF($A62="","",IF(COUNTIFS(Måned!$A$5:$A$2000,$A62,Måned!$C$5:$C$2000,MONTH(AD$5+3))=0,"",MAX(1,MIN(5,SUMIFS(Måned!$H$5:$H$2000,Måned!$A$5:$A$2000,$A62,Måned!$C$5:$C$2000,MONTH(AD$5+3))+SUMPRODUCT((Vinduer!$A$5:$A$300=$A62)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2" s="19">
        <f>IF($A62="","",IF(COUNTIFS(Måned!$A$5:$A$2000,$A62,Måned!$C$5:$C$2000,MONTH(AE$5+3))=0,"",MAX(1,MIN(5,SUMIFS(Måned!$H$5:$H$2000,Måned!$A$5:$A$2000,$A62,Måned!$C$5:$C$2000,MONTH(AE$5+3))+SUMPRODUCT((Vinduer!$A$5:$A$300=$A62)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2" s="19">
        <f>IF($A62="","",IF(COUNTIFS(Måned!$A$5:$A$2000,$A62,Måned!$C$5:$C$2000,MONTH(AF$5+3))=0,"",MAX(1,MIN(5,SUMIFS(Måned!$H$5:$H$2000,Måned!$A$5:$A$2000,$A62,Måned!$C$5:$C$2000,MONTH(AF$5+3))+SUMPRODUCT((Vinduer!$A$5:$A$300=$A62)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2" s="19">
        <f>IF($A62="","",IF(COUNTIFS(Måned!$A$5:$A$2000,$A62,Måned!$C$5:$C$2000,MONTH(AG$5+3))=0,"",MAX(1,MIN(5,SUMIFS(Måned!$H$5:$H$2000,Måned!$A$5:$A$2000,$A62,Måned!$C$5:$C$2000,MONTH(AG$5+3))+SUMPRODUCT((Vinduer!$A$5:$A$300=$A62)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2" s="19">
        <f>IF($A62="","",IF(COUNTIFS(Måned!$A$5:$A$2000,$A62,Måned!$C$5:$C$2000,MONTH(AH$5+3))=0,"",MAX(1,MIN(5,SUMIFS(Måned!$H$5:$H$2000,Måned!$A$5:$A$2000,$A62,Måned!$C$5:$C$2000,MONTH(AH$5+3))+SUMPRODUCT((Vinduer!$A$5:$A$300=$A62)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2" s="19">
        <f>IF($A62="","",IF(COUNTIFS(Måned!$A$5:$A$2000,$A62,Måned!$C$5:$C$2000,MONTH(AI$5+3))=0,"",MAX(1,MIN(5,SUMIFS(Måned!$H$5:$H$2000,Måned!$A$5:$A$2000,$A62,Måned!$C$5:$C$2000,MONTH(AI$5+3))+SUMPRODUCT((Vinduer!$A$5:$A$300=$A62)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2" s="19">
        <f>IF($A62="","",IF(COUNTIFS(Måned!$A$5:$A$2000,$A62,Måned!$C$5:$C$2000,MONTH(AJ$5+3))=0,"",MAX(1,MIN(5,SUMIFS(Måned!$H$5:$H$2000,Måned!$A$5:$A$2000,$A62,Måned!$C$5:$C$2000,MONTH(AJ$5+3))+SUMPRODUCT((Vinduer!$A$5:$A$300=$A62)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2" s="19">
        <f>IF($A62="","",IF(COUNTIFS(Måned!$A$5:$A$2000,$A62,Måned!$C$5:$C$2000,MONTH(AK$5+3))=0,"",MAX(1,MIN(5,SUMIFS(Måned!$H$5:$H$2000,Måned!$A$5:$A$2000,$A62,Måned!$C$5:$C$2000,MONTH(AK$5+3))+SUMPRODUCT((Vinduer!$A$5:$A$300=$A62)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2" s="19">
        <f>IF($A62="","",IF(COUNTIFS(Måned!$A$5:$A$2000,$A62,Måned!$C$5:$C$2000,MONTH(AL$5+3))=0,"",MAX(1,MIN(5,SUMIFS(Måned!$H$5:$H$2000,Måned!$A$5:$A$2000,$A62,Måned!$C$5:$C$2000,MONTH(AL$5+3))+SUMPRODUCT((Vinduer!$A$5:$A$300=$A62)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2" s="19">
        <f>IF($A62="","",IF(COUNTIFS(Måned!$A$5:$A$2000,$A62,Måned!$C$5:$C$2000,MONTH(AM$5+3))=0,"",MAX(1,MIN(5,SUMIFS(Måned!$H$5:$H$2000,Måned!$A$5:$A$2000,$A62,Måned!$C$5:$C$2000,MONTH(AM$5+3))+SUMPRODUCT((Vinduer!$A$5:$A$300=$A62)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2" s="19">
        <f>IF($A62="","",IF(COUNTIFS(Måned!$A$5:$A$2000,$A62,Måned!$C$5:$C$2000,MONTH(AN$5+3))=0,"",MAX(1,MIN(5,SUMIFS(Måned!$H$5:$H$2000,Måned!$A$5:$A$2000,$A62,Måned!$C$5:$C$2000,MONTH(AN$5+3))+SUMPRODUCT((Vinduer!$A$5:$A$300=$A62)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2" s="19">
        <f>IF($A62="","",IF(COUNTIFS(Måned!$A$5:$A$2000,$A62,Måned!$C$5:$C$2000,MONTH(AO$5+3))=0,"",MAX(1,MIN(5,SUMIFS(Måned!$H$5:$H$2000,Måned!$A$5:$A$2000,$A62,Måned!$C$5:$C$2000,MONTH(AO$5+3))+SUMPRODUCT((Vinduer!$A$5:$A$300=$A62)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2" s="19">
        <f>IF($A62="","",IF(COUNTIFS(Måned!$A$5:$A$2000,$A62,Måned!$C$5:$C$2000,MONTH(AP$5+3))=0,"",MAX(1,MIN(5,SUMIFS(Måned!$H$5:$H$2000,Måned!$A$5:$A$2000,$A62,Måned!$C$5:$C$2000,MONTH(AP$5+3))+SUMPRODUCT((Vinduer!$A$5:$A$300=$A62)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2" s="19">
        <f>IF($A62="","",IF(COUNTIFS(Måned!$A$5:$A$2000,$A62,Måned!$C$5:$C$2000,MONTH(AQ$5+3))=0,"",MAX(1,MIN(5,SUMIFS(Måned!$H$5:$H$2000,Måned!$A$5:$A$2000,$A62,Måned!$C$5:$C$2000,MONTH(AQ$5+3))+SUMPRODUCT((Vinduer!$A$5:$A$300=$A62)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2" s="19">
        <f>IF($A62="","",IF(COUNTIFS(Måned!$A$5:$A$2000,$A62,Måned!$C$5:$C$2000,MONTH(AR$5+3))=0,"",MAX(1,MIN(5,SUMIFS(Måned!$H$5:$H$2000,Måned!$A$5:$A$2000,$A62,Måned!$C$5:$C$2000,MONTH(AR$5+3))+SUMPRODUCT((Vinduer!$A$5:$A$300=$A62)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2" s="19">
        <f>IF($A62="","",IF(COUNTIFS(Måned!$A$5:$A$2000,$A62,Måned!$C$5:$C$2000,MONTH(AS$5+3))=0,"",MAX(1,MIN(5,SUMIFS(Måned!$H$5:$H$2000,Måned!$A$5:$A$2000,$A62,Måned!$C$5:$C$2000,MONTH(AS$5+3))+SUMPRODUCT((Vinduer!$A$5:$A$300=$A62)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2" s="19">
        <f>IF($A62="","",IF(COUNTIFS(Måned!$A$5:$A$2000,$A62,Måned!$C$5:$C$2000,MONTH(AT$5+3))=0,"",MAX(1,MIN(5,SUMIFS(Måned!$H$5:$H$2000,Måned!$A$5:$A$2000,$A62,Måned!$C$5:$C$2000,MONTH(AT$5+3))+SUMPRODUCT((Vinduer!$A$5:$A$300=$A62)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2" s="19">
        <f>IF($A62="","",IF(COUNTIFS(Måned!$A$5:$A$2000,$A62,Måned!$C$5:$C$2000,MONTH(AU$5+3))=0,"",MAX(1,MIN(5,SUMIFS(Måned!$H$5:$H$2000,Måned!$A$5:$A$2000,$A62,Måned!$C$5:$C$2000,MONTH(AU$5+3))+SUMPRODUCT((Vinduer!$A$5:$A$300=$A62)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2" s="19">
        <f>IF($A62="","",IF(COUNTIFS(Måned!$A$5:$A$2000,$A62,Måned!$C$5:$C$2000,MONTH(AV$5+3))=0,"",MAX(1,MIN(5,SUMIFS(Måned!$H$5:$H$2000,Måned!$A$5:$A$2000,$A62,Måned!$C$5:$C$2000,MONTH(AV$5+3))+SUMPRODUCT((Vinduer!$A$5:$A$300=$A62)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2" s="19">
        <f>IF($A62="","",IF(COUNTIFS(Måned!$A$5:$A$2000,$A62,Måned!$C$5:$C$2000,MONTH(AW$5+3))=0,"",MAX(1,MIN(5,SUMIFS(Måned!$H$5:$H$2000,Måned!$A$5:$A$2000,$A62,Måned!$C$5:$C$2000,MONTH(AW$5+3))+SUMPRODUCT((Vinduer!$A$5:$A$300=$A62)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2" s="19">
        <f>IF($A62="","",IF(COUNTIFS(Måned!$A$5:$A$2000,$A62,Måned!$C$5:$C$2000,MONTH(AX$5+3))=0,"",MAX(1,MIN(5,SUMIFS(Måned!$H$5:$H$2000,Måned!$A$5:$A$2000,$A62,Måned!$C$5:$C$2000,MONTH(AX$5+3))+SUMPRODUCT((Vinduer!$A$5:$A$300=$A62)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2" s="19">
        <f>IF($A62="","",IF(COUNTIFS(Måned!$A$5:$A$2000,$A62,Måned!$C$5:$C$2000,MONTH(AY$5+3))=0,"",MAX(1,MIN(5,SUMIFS(Måned!$H$5:$H$2000,Måned!$A$5:$A$2000,$A62,Måned!$C$5:$C$2000,MONTH(AY$5+3))+SUMPRODUCT((Vinduer!$A$5:$A$300=$A62)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2" s="19">
        <f>IF($A62="","",IF(COUNTIFS(Måned!$A$5:$A$2000,$A62,Måned!$C$5:$C$2000,MONTH(AZ$5+3))=0,"",MAX(1,MIN(5,SUMIFS(Måned!$H$5:$H$2000,Måned!$A$5:$A$2000,$A62,Måned!$C$5:$C$2000,MONTH(AZ$5+3))+SUMPRODUCT((Vinduer!$A$5:$A$300=$A62)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2" s="19">
        <f>IF($A62="","",IF(COUNTIFS(Måned!$A$5:$A$2000,$A62,Måned!$C$5:$C$2000,MONTH(BA$5+3))=0,"",MAX(1,MIN(5,SUMIFS(Måned!$H$5:$H$2000,Måned!$A$5:$A$2000,$A62,Måned!$C$5:$C$2000,MONTH(BA$5+3))+SUMPRODUCT((Vinduer!$A$5:$A$300=$A62)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2" s="19">
        <f>IF($A62="","",IF(COUNTIFS(Måned!$A$5:$A$2000,$A62,Måned!$C$5:$C$2000,MONTH(BB$5+3))=0,"",MAX(1,MIN(5,SUMIFS(Måned!$H$5:$H$2000,Måned!$A$5:$A$2000,$A62,Måned!$C$5:$C$2000,MONTH(BB$5+3))+SUMPRODUCT((Vinduer!$A$5:$A$300=$A62)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2" s="19">
        <f>IF($A62="","",IF(COUNTIFS(Måned!$A$5:$A$2000,$A62,Måned!$C$5:$C$2000,MONTH(BC$5+3))=0,"",MAX(1,MIN(5,SUMIFS(Måned!$H$5:$H$2000,Måned!$A$5:$A$2000,$A62,Måned!$C$5:$C$2000,MONTH(BC$5+3))+SUMPRODUCT((Vinduer!$A$5:$A$300=$A62)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2" s="19">
        <f>IF($A62="","",IF(COUNTIFS(Måned!$A$5:$A$2000,$A62,Måned!$C$5:$C$2000,MONTH(BD$5+3))=0,"",MAX(1,MIN(5,SUMIFS(Måned!$H$5:$H$2000,Måned!$A$5:$A$2000,$A62,Måned!$C$5:$C$2000,MONTH(BD$5+3))+SUMPRODUCT((Vinduer!$A$5:$A$300=$A62)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2" s="19">
        <f>IF($A62="","",IF(COUNTIFS(Måned!$A$5:$A$2000,$A62,Måned!$C$5:$C$2000,MONTH(BE$5+3))=0,"",MAX(1,MIN(5,SUMIFS(Måned!$H$5:$H$2000,Måned!$A$5:$A$2000,$A62,Måned!$C$5:$C$2000,MONTH(BE$5+3))+SUMPRODUCT((Vinduer!$A$5:$A$300=$A62)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3">
      <c r="A63" s="5">
        <f>IF(Destinasjoner!A59="","",Destinasjoner!A59)</f>
        <v/>
      </c>
      <c r="B63" s="5">
        <f>IF(A63="","",Destinasjoner!E59)</f>
        <v/>
      </c>
      <c r="C63" s="5">
        <f>IF(A63="","",Destinasjoner!B59)</f>
        <v/>
      </c>
      <c r="D63" s="17">
        <f>IFERROR(SUMIFS(F63:BE63,$F$7:$BE$7,"x")/COUNTIFS($F$7:$BE$7,"x",F63:BE63,"&gt;0"),"")</f>
        <v/>
      </c>
      <c r="E63" s="18">
        <f>IF(D63="","",_xlfn.MINIFS(F63:BE63,$F$7:$BE$7,"x",F63:BE63,"&gt;0"))</f>
        <v/>
      </c>
      <c r="F63" s="19">
        <f>IF($A63="","",IF(COUNTIFS(Måned!$A$5:$A$2000,$A63,Måned!$C$5:$C$2000,MONTH(F$5+3))=0,"",MAX(1,MIN(5,SUMIFS(Måned!$H$5:$H$2000,Måned!$A$5:$A$2000,$A63,Måned!$C$5:$C$2000,MONTH(F$5+3))+SUMPRODUCT((Vinduer!$A$5:$A$300=$A63)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3" s="19">
        <f>IF($A63="","",IF(COUNTIFS(Måned!$A$5:$A$2000,$A63,Måned!$C$5:$C$2000,MONTH(G$5+3))=0,"",MAX(1,MIN(5,SUMIFS(Måned!$H$5:$H$2000,Måned!$A$5:$A$2000,$A63,Måned!$C$5:$C$2000,MONTH(G$5+3))+SUMPRODUCT((Vinduer!$A$5:$A$300=$A63)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3" s="19">
        <f>IF($A63="","",IF(COUNTIFS(Måned!$A$5:$A$2000,$A63,Måned!$C$5:$C$2000,MONTH(H$5+3))=0,"",MAX(1,MIN(5,SUMIFS(Måned!$H$5:$H$2000,Måned!$A$5:$A$2000,$A63,Måned!$C$5:$C$2000,MONTH(H$5+3))+SUMPRODUCT((Vinduer!$A$5:$A$300=$A63)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3" s="19">
        <f>IF($A63="","",IF(COUNTIFS(Måned!$A$5:$A$2000,$A63,Måned!$C$5:$C$2000,MONTH(I$5+3))=0,"",MAX(1,MIN(5,SUMIFS(Måned!$H$5:$H$2000,Måned!$A$5:$A$2000,$A63,Måned!$C$5:$C$2000,MONTH(I$5+3))+SUMPRODUCT((Vinduer!$A$5:$A$300=$A63)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3" s="19">
        <f>IF($A63="","",IF(COUNTIFS(Måned!$A$5:$A$2000,$A63,Måned!$C$5:$C$2000,MONTH(J$5+3))=0,"",MAX(1,MIN(5,SUMIFS(Måned!$H$5:$H$2000,Måned!$A$5:$A$2000,$A63,Måned!$C$5:$C$2000,MONTH(J$5+3))+SUMPRODUCT((Vinduer!$A$5:$A$300=$A63)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3" s="19">
        <f>IF($A63="","",IF(COUNTIFS(Måned!$A$5:$A$2000,$A63,Måned!$C$5:$C$2000,MONTH(K$5+3))=0,"",MAX(1,MIN(5,SUMIFS(Måned!$H$5:$H$2000,Måned!$A$5:$A$2000,$A63,Måned!$C$5:$C$2000,MONTH(K$5+3))+SUMPRODUCT((Vinduer!$A$5:$A$300=$A63)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3" s="19">
        <f>IF($A63="","",IF(COUNTIFS(Måned!$A$5:$A$2000,$A63,Måned!$C$5:$C$2000,MONTH(L$5+3))=0,"",MAX(1,MIN(5,SUMIFS(Måned!$H$5:$H$2000,Måned!$A$5:$A$2000,$A63,Måned!$C$5:$C$2000,MONTH(L$5+3))+SUMPRODUCT((Vinduer!$A$5:$A$300=$A63)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3" s="19">
        <f>IF($A63="","",IF(COUNTIFS(Måned!$A$5:$A$2000,$A63,Måned!$C$5:$C$2000,MONTH(M$5+3))=0,"",MAX(1,MIN(5,SUMIFS(Måned!$H$5:$H$2000,Måned!$A$5:$A$2000,$A63,Måned!$C$5:$C$2000,MONTH(M$5+3))+SUMPRODUCT((Vinduer!$A$5:$A$300=$A63)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3" s="19">
        <f>IF($A63="","",IF(COUNTIFS(Måned!$A$5:$A$2000,$A63,Måned!$C$5:$C$2000,MONTH(N$5+3))=0,"",MAX(1,MIN(5,SUMIFS(Måned!$H$5:$H$2000,Måned!$A$5:$A$2000,$A63,Måned!$C$5:$C$2000,MONTH(N$5+3))+SUMPRODUCT((Vinduer!$A$5:$A$300=$A63)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3" s="19">
        <f>IF($A63="","",IF(COUNTIFS(Måned!$A$5:$A$2000,$A63,Måned!$C$5:$C$2000,MONTH(O$5+3))=0,"",MAX(1,MIN(5,SUMIFS(Måned!$H$5:$H$2000,Måned!$A$5:$A$2000,$A63,Måned!$C$5:$C$2000,MONTH(O$5+3))+SUMPRODUCT((Vinduer!$A$5:$A$300=$A63)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3" s="19">
        <f>IF($A63="","",IF(COUNTIFS(Måned!$A$5:$A$2000,$A63,Måned!$C$5:$C$2000,MONTH(P$5+3))=0,"",MAX(1,MIN(5,SUMIFS(Måned!$H$5:$H$2000,Måned!$A$5:$A$2000,$A63,Måned!$C$5:$C$2000,MONTH(P$5+3))+SUMPRODUCT((Vinduer!$A$5:$A$300=$A63)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3" s="19">
        <f>IF($A63="","",IF(COUNTIFS(Måned!$A$5:$A$2000,$A63,Måned!$C$5:$C$2000,MONTH(Q$5+3))=0,"",MAX(1,MIN(5,SUMIFS(Måned!$H$5:$H$2000,Måned!$A$5:$A$2000,$A63,Måned!$C$5:$C$2000,MONTH(Q$5+3))+SUMPRODUCT((Vinduer!$A$5:$A$300=$A63)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3" s="19">
        <f>IF($A63="","",IF(COUNTIFS(Måned!$A$5:$A$2000,$A63,Måned!$C$5:$C$2000,MONTH(R$5+3))=0,"",MAX(1,MIN(5,SUMIFS(Måned!$H$5:$H$2000,Måned!$A$5:$A$2000,$A63,Måned!$C$5:$C$2000,MONTH(R$5+3))+SUMPRODUCT((Vinduer!$A$5:$A$300=$A63)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3" s="19">
        <f>IF($A63="","",IF(COUNTIFS(Måned!$A$5:$A$2000,$A63,Måned!$C$5:$C$2000,MONTH(S$5+3))=0,"",MAX(1,MIN(5,SUMIFS(Måned!$H$5:$H$2000,Måned!$A$5:$A$2000,$A63,Måned!$C$5:$C$2000,MONTH(S$5+3))+SUMPRODUCT((Vinduer!$A$5:$A$300=$A63)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3" s="19">
        <f>IF($A63="","",IF(COUNTIFS(Måned!$A$5:$A$2000,$A63,Måned!$C$5:$C$2000,MONTH(T$5+3))=0,"",MAX(1,MIN(5,SUMIFS(Måned!$H$5:$H$2000,Måned!$A$5:$A$2000,$A63,Måned!$C$5:$C$2000,MONTH(T$5+3))+SUMPRODUCT((Vinduer!$A$5:$A$300=$A63)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3" s="19">
        <f>IF($A63="","",IF(COUNTIFS(Måned!$A$5:$A$2000,$A63,Måned!$C$5:$C$2000,MONTH(U$5+3))=0,"",MAX(1,MIN(5,SUMIFS(Måned!$H$5:$H$2000,Måned!$A$5:$A$2000,$A63,Måned!$C$5:$C$2000,MONTH(U$5+3))+SUMPRODUCT((Vinduer!$A$5:$A$300=$A63)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3" s="19">
        <f>IF($A63="","",IF(COUNTIFS(Måned!$A$5:$A$2000,$A63,Måned!$C$5:$C$2000,MONTH(V$5+3))=0,"",MAX(1,MIN(5,SUMIFS(Måned!$H$5:$H$2000,Måned!$A$5:$A$2000,$A63,Måned!$C$5:$C$2000,MONTH(V$5+3))+SUMPRODUCT((Vinduer!$A$5:$A$300=$A63)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3" s="19">
        <f>IF($A63="","",IF(COUNTIFS(Måned!$A$5:$A$2000,$A63,Måned!$C$5:$C$2000,MONTH(W$5+3))=0,"",MAX(1,MIN(5,SUMIFS(Måned!$H$5:$H$2000,Måned!$A$5:$A$2000,$A63,Måned!$C$5:$C$2000,MONTH(W$5+3))+SUMPRODUCT((Vinduer!$A$5:$A$300=$A63)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3" s="19">
        <f>IF($A63="","",IF(COUNTIFS(Måned!$A$5:$A$2000,$A63,Måned!$C$5:$C$2000,MONTH(X$5+3))=0,"",MAX(1,MIN(5,SUMIFS(Måned!$H$5:$H$2000,Måned!$A$5:$A$2000,$A63,Måned!$C$5:$C$2000,MONTH(X$5+3))+SUMPRODUCT((Vinduer!$A$5:$A$300=$A63)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3" s="19">
        <f>IF($A63="","",IF(COUNTIFS(Måned!$A$5:$A$2000,$A63,Måned!$C$5:$C$2000,MONTH(Y$5+3))=0,"",MAX(1,MIN(5,SUMIFS(Måned!$H$5:$H$2000,Måned!$A$5:$A$2000,$A63,Måned!$C$5:$C$2000,MONTH(Y$5+3))+SUMPRODUCT((Vinduer!$A$5:$A$300=$A63)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3" s="19">
        <f>IF($A63="","",IF(COUNTIFS(Måned!$A$5:$A$2000,$A63,Måned!$C$5:$C$2000,MONTH(Z$5+3))=0,"",MAX(1,MIN(5,SUMIFS(Måned!$H$5:$H$2000,Måned!$A$5:$A$2000,$A63,Måned!$C$5:$C$2000,MONTH(Z$5+3))+SUMPRODUCT((Vinduer!$A$5:$A$300=$A63)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3" s="19">
        <f>IF($A63="","",IF(COUNTIFS(Måned!$A$5:$A$2000,$A63,Måned!$C$5:$C$2000,MONTH(AA$5+3))=0,"",MAX(1,MIN(5,SUMIFS(Måned!$H$5:$H$2000,Måned!$A$5:$A$2000,$A63,Måned!$C$5:$C$2000,MONTH(AA$5+3))+SUMPRODUCT((Vinduer!$A$5:$A$300=$A63)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3" s="19">
        <f>IF($A63="","",IF(COUNTIFS(Måned!$A$5:$A$2000,$A63,Måned!$C$5:$C$2000,MONTH(AB$5+3))=0,"",MAX(1,MIN(5,SUMIFS(Måned!$H$5:$H$2000,Måned!$A$5:$A$2000,$A63,Måned!$C$5:$C$2000,MONTH(AB$5+3))+SUMPRODUCT((Vinduer!$A$5:$A$300=$A63)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3" s="19">
        <f>IF($A63="","",IF(COUNTIFS(Måned!$A$5:$A$2000,$A63,Måned!$C$5:$C$2000,MONTH(AC$5+3))=0,"",MAX(1,MIN(5,SUMIFS(Måned!$H$5:$H$2000,Måned!$A$5:$A$2000,$A63,Måned!$C$5:$C$2000,MONTH(AC$5+3))+SUMPRODUCT((Vinduer!$A$5:$A$300=$A63)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3" s="19">
        <f>IF($A63="","",IF(COUNTIFS(Måned!$A$5:$A$2000,$A63,Måned!$C$5:$C$2000,MONTH(AD$5+3))=0,"",MAX(1,MIN(5,SUMIFS(Måned!$H$5:$H$2000,Måned!$A$5:$A$2000,$A63,Måned!$C$5:$C$2000,MONTH(AD$5+3))+SUMPRODUCT((Vinduer!$A$5:$A$300=$A63)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3" s="19">
        <f>IF($A63="","",IF(COUNTIFS(Måned!$A$5:$A$2000,$A63,Måned!$C$5:$C$2000,MONTH(AE$5+3))=0,"",MAX(1,MIN(5,SUMIFS(Måned!$H$5:$H$2000,Måned!$A$5:$A$2000,$A63,Måned!$C$5:$C$2000,MONTH(AE$5+3))+SUMPRODUCT((Vinduer!$A$5:$A$300=$A63)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3" s="19">
        <f>IF($A63="","",IF(COUNTIFS(Måned!$A$5:$A$2000,$A63,Måned!$C$5:$C$2000,MONTH(AF$5+3))=0,"",MAX(1,MIN(5,SUMIFS(Måned!$H$5:$H$2000,Måned!$A$5:$A$2000,$A63,Måned!$C$5:$C$2000,MONTH(AF$5+3))+SUMPRODUCT((Vinduer!$A$5:$A$300=$A63)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3" s="19">
        <f>IF($A63="","",IF(COUNTIFS(Måned!$A$5:$A$2000,$A63,Måned!$C$5:$C$2000,MONTH(AG$5+3))=0,"",MAX(1,MIN(5,SUMIFS(Måned!$H$5:$H$2000,Måned!$A$5:$A$2000,$A63,Måned!$C$5:$C$2000,MONTH(AG$5+3))+SUMPRODUCT((Vinduer!$A$5:$A$300=$A63)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3" s="19">
        <f>IF($A63="","",IF(COUNTIFS(Måned!$A$5:$A$2000,$A63,Måned!$C$5:$C$2000,MONTH(AH$5+3))=0,"",MAX(1,MIN(5,SUMIFS(Måned!$H$5:$H$2000,Måned!$A$5:$A$2000,$A63,Måned!$C$5:$C$2000,MONTH(AH$5+3))+SUMPRODUCT((Vinduer!$A$5:$A$300=$A63)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3" s="19">
        <f>IF($A63="","",IF(COUNTIFS(Måned!$A$5:$A$2000,$A63,Måned!$C$5:$C$2000,MONTH(AI$5+3))=0,"",MAX(1,MIN(5,SUMIFS(Måned!$H$5:$H$2000,Måned!$A$5:$A$2000,$A63,Måned!$C$5:$C$2000,MONTH(AI$5+3))+SUMPRODUCT((Vinduer!$A$5:$A$300=$A63)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3" s="19">
        <f>IF($A63="","",IF(COUNTIFS(Måned!$A$5:$A$2000,$A63,Måned!$C$5:$C$2000,MONTH(AJ$5+3))=0,"",MAX(1,MIN(5,SUMIFS(Måned!$H$5:$H$2000,Måned!$A$5:$A$2000,$A63,Måned!$C$5:$C$2000,MONTH(AJ$5+3))+SUMPRODUCT((Vinduer!$A$5:$A$300=$A63)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3" s="19">
        <f>IF($A63="","",IF(COUNTIFS(Måned!$A$5:$A$2000,$A63,Måned!$C$5:$C$2000,MONTH(AK$5+3))=0,"",MAX(1,MIN(5,SUMIFS(Måned!$H$5:$H$2000,Måned!$A$5:$A$2000,$A63,Måned!$C$5:$C$2000,MONTH(AK$5+3))+SUMPRODUCT((Vinduer!$A$5:$A$300=$A63)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3" s="19">
        <f>IF($A63="","",IF(COUNTIFS(Måned!$A$5:$A$2000,$A63,Måned!$C$5:$C$2000,MONTH(AL$5+3))=0,"",MAX(1,MIN(5,SUMIFS(Måned!$H$5:$H$2000,Måned!$A$5:$A$2000,$A63,Måned!$C$5:$C$2000,MONTH(AL$5+3))+SUMPRODUCT((Vinduer!$A$5:$A$300=$A63)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3" s="19">
        <f>IF($A63="","",IF(COUNTIFS(Måned!$A$5:$A$2000,$A63,Måned!$C$5:$C$2000,MONTH(AM$5+3))=0,"",MAX(1,MIN(5,SUMIFS(Måned!$H$5:$H$2000,Måned!$A$5:$A$2000,$A63,Måned!$C$5:$C$2000,MONTH(AM$5+3))+SUMPRODUCT((Vinduer!$A$5:$A$300=$A63)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3" s="19">
        <f>IF($A63="","",IF(COUNTIFS(Måned!$A$5:$A$2000,$A63,Måned!$C$5:$C$2000,MONTH(AN$5+3))=0,"",MAX(1,MIN(5,SUMIFS(Måned!$H$5:$H$2000,Måned!$A$5:$A$2000,$A63,Måned!$C$5:$C$2000,MONTH(AN$5+3))+SUMPRODUCT((Vinduer!$A$5:$A$300=$A63)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3" s="19">
        <f>IF($A63="","",IF(COUNTIFS(Måned!$A$5:$A$2000,$A63,Måned!$C$5:$C$2000,MONTH(AO$5+3))=0,"",MAX(1,MIN(5,SUMIFS(Måned!$H$5:$H$2000,Måned!$A$5:$A$2000,$A63,Måned!$C$5:$C$2000,MONTH(AO$5+3))+SUMPRODUCT((Vinduer!$A$5:$A$300=$A63)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3" s="19">
        <f>IF($A63="","",IF(COUNTIFS(Måned!$A$5:$A$2000,$A63,Måned!$C$5:$C$2000,MONTH(AP$5+3))=0,"",MAX(1,MIN(5,SUMIFS(Måned!$H$5:$H$2000,Måned!$A$5:$A$2000,$A63,Måned!$C$5:$C$2000,MONTH(AP$5+3))+SUMPRODUCT((Vinduer!$A$5:$A$300=$A63)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3" s="19">
        <f>IF($A63="","",IF(COUNTIFS(Måned!$A$5:$A$2000,$A63,Måned!$C$5:$C$2000,MONTH(AQ$5+3))=0,"",MAX(1,MIN(5,SUMIFS(Måned!$H$5:$H$2000,Måned!$A$5:$A$2000,$A63,Måned!$C$5:$C$2000,MONTH(AQ$5+3))+SUMPRODUCT((Vinduer!$A$5:$A$300=$A63)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3" s="19">
        <f>IF($A63="","",IF(COUNTIFS(Måned!$A$5:$A$2000,$A63,Måned!$C$5:$C$2000,MONTH(AR$5+3))=0,"",MAX(1,MIN(5,SUMIFS(Måned!$H$5:$H$2000,Måned!$A$5:$A$2000,$A63,Måned!$C$5:$C$2000,MONTH(AR$5+3))+SUMPRODUCT((Vinduer!$A$5:$A$300=$A63)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3" s="19">
        <f>IF($A63="","",IF(COUNTIFS(Måned!$A$5:$A$2000,$A63,Måned!$C$5:$C$2000,MONTH(AS$5+3))=0,"",MAX(1,MIN(5,SUMIFS(Måned!$H$5:$H$2000,Måned!$A$5:$A$2000,$A63,Måned!$C$5:$C$2000,MONTH(AS$5+3))+SUMPRODUCT((Vinduer!$A$5:$A$300=$A63)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3" s="19">
        <f>IF($A63="","",IF(COUNTIFS(Måned!$A$5:$A$2000,$A63,Måned!$C$5:$C$2000,MONTH(AT$5+3))=0,"",MAX(1,MIN(5,SUMIFS(Måned!$H$5:$H$2000,Måned!$A$5:$A$2000,$A63,Måned!$C$5:$C$2000,MONTH(AT$5+3))+SUMPRODUCT((Vinduer!$A$5:$A$300=$A63)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3" s="19">
        <f>IF($A63="","",IF(COUNTIFS(Måned!$A$5:$A$2000,$A63,Måned!$C$5:$C$2000,MONTH(AU$5+3))=0,"",MAX(1,MIN(5,SUMIFS(Måned!$H$5:$H$2000,Måned!$A$5:$A$2000,$A63,Måned!$C$5:$C$2000,MONTH(AU$5+3))+SUMPRODUCT((Vinduer!$A$5:$A$300=$A63)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3" s="19">
        <f>IF($A63="","",IF(COUNTIFS(Måned!$A$5:$A$2000,$A63,Måned!$C$5:$C$2000,MONTH(AV$5+3))=0,"",MAX(1,MIN(5,SUMIFS(Måned!$H$5:$H$2000,Måned!$A$5:$A$2000,$A63,Måned!$C$5:$C$2000,MONTH(AV$5+3))+SUMPRODUCT((Vinduer!$A$5:$A$300=$A63)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3" s="19">
        <f>IF($A63="","",IF(COUNTIFS(Måned!$A$5:$A$2000,$A63,Måned!$C$5:$C$2000,MONTH(AW$5+3))=0,"",MAX(1,MIN(5,SUMIFS(Måned!$H$5:$H$2000,Måned!$A$5:$A$2000,$A63,Måned!$C$5:$C$2000,MONTH(AW$5+3))+SUMPRODUCT((Vinduer!$A$5:$A$300=$A63)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3" s="19">
        <f>IF($A63="","",IF(COUNTIFS(Måned!$A$5:$A$2000,$A63,Måned!$C$5:$C$2000,MONTH(AX$5+3))=0,"",MAX(1,MIN(5,SUMIFS(Måned!$H$5:$H$2000,Måned!$A$5:$A$2000,$A63,Måned!$C$5:$C$2000,MONTH(AX$5+3))+SUMPRODUCT((Vinduer!$A$5:$A$300=$A63)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3" s="19">
        <f>IF($A63="","",IF(COUNTIFS(Måned!$A$5:$A$2000,$A63,Måned!$C$5:$C$2000,MONTH(AY$5+3))=0,"",MAX(1,MIN(5,SUMIFS(Måned!$H$5:$H$2000,Måned!$A$5:$A$2000,$A63,Måned!$C$5:$C$2000,MONTH(AY$5+3))+SUMPRODUCT((Vinduer!$A$5:$A$300=$A63)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3" s="19">
        <f>IF($A63="","",IF(COUNTIFS(Måned!$A$5:$A$2000,$A63,Måned!$C$5:$C$2000,MONTH(AZ$5+3))=0,"",MAX(1,MIN(5,SUMIFS(Måned!$H$5:$H$2000,Måned!$A$5:$A$2000,$A63,Måned!$C$5:$C$2000,MONTH(AZ$5+3))+SUMPRODUCT((Vinduer!$A$5:$A$300=$A63)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3" s="19">
        <f>IF($A63="","",IF(COUNTIFS(Måned!$A$5:$A$2000,$A63,Måned!$C$5:$C$2000,MONTH(BA$5+3))=0,"",MAX(1,MIN(5,SUMIFS(Måned!$H$5:$H$2000,Måned!$A$5:$A$2000,$A63,Måned!$C$5:$C$2000,MONTH(BA$5+3))+SUMPRODUCT((Vinduer!$A$5:$A$300=$A63)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3" s="19">
        <f>IF($A63="","",IF(COUNTIFS(Måned!$A$5:$A$2000,$A63,Måned!$C$5:$C$2000,MONTH(BB$5+3))=0,"",MAX(1,MIN(5,SUMIFS(Måned!$H$5:$H$2000,Måned!$A$5:$A$2000,$A63,Måned!$C$5:$C$2000,MONTH(BB$5+3))+SUMPRODUCT((Vinduer!$A$5:$A$300=$A63)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3" s="19">
        <f>IF($A63="","",IF(COUNTIFS(Måned!$A$5:$A$2000,$A63,Måned!$C$5:$C$2000,MONTH(BC$5+3))=0,"",MAX(1,MIN(5,SUMIFS(Måned!$H$5:$H$2000,Måned!$A$5:$A$2000,$A63,Måned!$C$5:$C$2000,MONTH(BC$5+3))+SUMPRODUCT((Vinduer!$A$5:$A$300=$A63)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3" s="19">
        <f>IF($A63="","",IF(COUNTIFS(Måned!$A$5:$A$2000,$A63,Måned!$C$5:$C$2000,MONTH(BD$5+3))=0,"",MAX(1,MIN(5,SUMIFS(Måned!$H$5:$H$2000,Måned!$A$5:$A$2000,$A63,Måned!$C$5:$C$2000,MONTH(BD$5+3))+SUMPRODUCT((Vinduer!$A$5:$A$300=$A63)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3" s="19">
        <f>IF($A63="","",IF(COUNTIFS(Måned!$A$5:$A$2000,$A63,Måned!$C$5:$C$2000,MONTH(BE$5+3))=0,"",MAX(1,MIN(5,SUMIFS(Måned!$H$5:$H$2000,Måned!$A$5:$A$2000,$A63,Måned!$C$5:$C$2000,MONTH(BE$5+3))+SUMPRODUCT((Vinduer!$A$5:$A$300=$A63)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4">
      <c r="A64" s="5">
        <f>IF(Destinasjoner!A60="","",Destinasjoner!A60)</f>
        <v/>
      </c>
      <c r="B64" s="5">
        <f>IF(A64="","",Destinasjoner!E60)</f>
        <v/>
      </c>
      <c r="C64" s="5">
        <f>IF(A64="","",Destinasjoner!B60)</f>
        <v/>
      </c>
      <c r="D64" s="17">
        <f>IFERROR(SUMIFS(F64:BE64,$F$7:$BE$7,"x")/COUNTIFS($F$7:$BE$7,"x",F64:BE64,"&gt;0"),"")</f>
        <v/>
      </c>
      <c r="E64" s="18">
        <f>IF(D64="","",_xlfn.MINIFS(F64:BE64,$F$7:$BE$7,"x",F64:BE64,"&gt;0"))</f>
        <v/>
      </c>
      <c r="F64" s="19">
        <f>IF($A64="","",IF(COUNTIFS(Måned!$A$5:$A$2000,$A64,Måned!$C$5:$C$2000,MONTH(F$5+3))=0,"",MAX(1,MIN(5,SUMIFS(Måned!$H$5:$H$2000,Måned!$A$5:$A$2000,$A64,Måned!$C$5:$C$2000,MONTH(F$5+3))+SUMPRODUCT((Vinduer!$A$5:$A$300=$A64)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4" s="19">
        <f>IF($A64="","",IF(COUNTIFS(Måned!$A$5:$A$2000,$A64,Måned!$C$5:$C$2000,MONTH(G$5+3))=0,"",MAX(1,MIN(5,SUMIFS(Måned!$H$5:$H$2000,Måned!$A$5:$A$2000,$A64,Måned!$C$5:$C$2000,MONTH(G$5+3))+SUMPRODUCT((Vinduer!$A$5:$A$300=$A64)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4" s="19">
        <f>IF($A64="","",IF(COUNTIFS(Måned!$A$5:$A$2000,$A64,Måned!$C$5:$C$2000,MONTH(H$5+3))=0,"",MAX(1,MIN(5,SUMIFS(Måned!$H$5:$H$2000,Måned!$A$5:$A$2000,$A64,Måned!$C$5:$C$2000,MONTH(H$5+3))+SUMPRODUCT((Vinduer!$A$5:$A$300=$A64)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4" s="19">
        <f>IF($A64="","",IF(COUNTIFS(Måned!$A$5:$A$2000,$A64,Måned!$C$5:$C$2000,MONTH(I$5+3))=0,"",MAX(1,MIN(5,SUMIFS(Måned!$H$5:$H$2000,Måned!$A$5:$A$2000,$A64,Måned!$C$5:$C$2000,MONTH(I$5+3))+SUMPRODUCT((Vinduer!$A$5:$A$300=$A64)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4" s="19">
        <f>IF($A64="","",IF(COUNTIFS(Måned!$A$5:$A$2000,$A64,Måned!$C$5:$C$2000,MONTH(J$5+3))=0,"",MAX(1,MIN(5,SUMIFS(Måned!$H$5:$H$2000,Måned!$A$5:$A$2000,$A64,Måned!$C$5:$C$2000,MONTH(J$5+3))+SUMPRODUCT((Vinduer!$A$5:$A$300=$A64)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4" s="19">
        <f>IF($A64="","",IF(COUNTIFS(Måned!$A$5:$A$2000,$A64,Måned!$C$5:$C$2000,MONTH(K$5+3))=0,"",MAX(1,MIN(5,SUMIFS(Måned!$H$5:$H$2000,Måned!$A$5:$A$2000,$A64,Måned!$C$5:$C$2000,MONTH(K$5+3))+SUMPRODUCT((Vinduer!$A$5:$A$300=$A64)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4" s="19">
        <f>IF($A64="","",IF(COUNTIFS(Måned!$A$5:$A$2000,$A64,Måned!$C$5:$C$2000,MONTH(L$5+3))=0,"",MAX(1,MIN(5,SUMIFS(Måned!$H$5:$H$2000,Måned!$A$5:$A$2000,$A64,Måned!$C$5:$C$2000,MONTH(L$5+3))+SUMPRODUCT((Vinduer!$A$5:$A$300=$A64)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4" s="19">
        <f>IF($A64="","",IF(COUNTIFS(Måned!$A$5:$A$2000,$A64,Måned!$C$5:$C$2000,MONTH(M$5+3))=0,"",MAX(1,MIN(5,SUMIFS(Måned!$H$5:$H$2000,Måned!$A$5:$A$2000,$A64,Måned!$C$5:$C$2000,MONTH(M$5+3))+SUMPRODUCT((Vinduer!$A$5:$A$300=$A64)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4" s="19">
        <f>IF($A64="","",IF(COUNTIFS(Måned!$A$5:$A$2000,$A64,Måned!$C$5:$C$2000,MONTH(N$5+3))=0,"",MAX(1,MIN(5,SUMIFS(Måned!$H$5:$H$2000,Måned!$A$5:$A$2000,$A64,Måned!$C$5:$C$2000,MONTH(N$5+3))+SUMPRODUCT((Vinduer!$A$5:$A$300=$A64)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4" s="19">
        <f>IF($A64="","",IF(COUNTIFS(Måned!$A$5:$A$2000,$A64,Måned!$C$5:$C$2000,MONTH(O$5+3))=0,"",MAX(1,MIN(5,SUMIFS(Måned!$H$5:$H$2000,Måned!$A$5:$A$2000,$A64,Måned!$C$5:$C$2000,MONTH(O$5+3))+SUMPRODUCT((Vinduer!$A$5:$A$300=$A64)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4" s="19">
        <f>IF($A64="","",IF(COUNTIFS(Måned!$A$5:$A$2000,$A64,Måned!$C$5:$C$2000,MONTH(P$5+3))=0,"",MAX(1,MIN(5,SUMIFS(Måned!$H$5:$H$2000,Måned!$A$5:$A$2000,$A64,Måned!$C$5:$C$2000,MONTH(P$5+3))+SUMPRODUCT((Vinduer!$A$5:$A$300=$A64)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4" s="19">
        <f>IF($A64="","",IF(COUNTIFS(Måned!$A$5:$A$2000,$A64,Måned!$C$5:$C$2000,MONTH(Q$5+3))=0,"",MAX(1,MIN(5,SUMIFS(Måned!$H$5:$H$2000,Måned!$A$5:$A$2000,$A64,Måned!$C$5:$C$2000,MONTH(Q$5+3))+SUMPRODUCT((Vinduer!$A$5:$A$300=$A64)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4" s="19">
        <f>IF($A64="","",IF(COUNTIFS(Måned!$A$5:$A$2000,$A64,Måned!$C$5:$C$2000,MONTH(R$5+3))=0,"",MAX(1,MIN(5,SUMIFS(Måned!$H$5:$H$2000,Måned!$A$5:$A$2000,$A64,Måned!$C$5:$C$2000,MONTH(R$5+3))+SUMPRODUCT((Vinduer!$A$5:$A$300=$A64)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4" s="19">
        <f>IF($A64="","",IF(COUNTIFS(Måned!$A$5:$A$2000,$A64,Måned!$C$5:$C$2000,MONTH(S$5+3))=0,"",MAX(1,MIN(5,SUMIFS(Måned!$H$5:$H$2000,Måned!$A$5:$A$2000,$A64,Måned!$C$5:$C$2000,MONTH(S$5+3))+SUMPRODUCT((Vinduer!$A$5:$A$300=$A64)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4" s="19">
        <f>IF($A64="","",IF(COUNTIFS(Måned!$A$5:$A$2000,$A64,Måned!$C$5:$C$2000,MONTH(T$5+3))=0,"",MAX(1,MIN(5,SUMIFS(Måned!$H$5:$H$2000,Måned!$A$5:$A$2000,$A64,Måned!$C$5:$C$2000,MONTH(T$5+3))+SUMPRODUCT((Vinduer!$A$5:$A$300=$A64)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4" s="19">
        <f>IF($A64="","",IF(COUNTIFS(Måned!$A$5:$A$2000,$A64,Måned!$C$5:$C$2000,MONTH(U$5+3))=0,"",MAX(1,MIN(5,SUMIFS(Måned!$H$5:$H$2000,Måned!$A$5:$A$2000,$A64,Måned!$C$5:$C$2000,MONTH(U$5+3))+SUMPRODUCT((Vinduer!$A$5:$A$300=$A64)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4" s="19">
        <f>IF($A64="","",IF(COUNTIFS(Måned!$A$5:$A$2000,$A64,Måned!$C$5:$C$2000,MONTH(V$5+3))=0,"",MAX(1,MIN(5,SUMIFS(Måned!$H$5:$H$2000,Måned!$A$5:$A$2000,$A64,Måned!$C$5:$C$2000,MONTH(V$5+3))+SUMPRODUCT((Vinduer!$A$5:$A$300=$A64)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4" s="19">
        <f>IF($A64="","",IF(COUNTIFS(Måned!$A$5:$A$2000,$A64,Måned!$C$5:$C$2000,MONTH(W$5+3))=0,"",MAX(1,MIN(5,SUMIFS(Måned!$H$5:$H$2000,Måned!$A$5:$A$2000,$A64,Måned!$C$5:$C$2000,MONTH(W$5+3))+SUMPRODUCT((Vinduer!$A$5:$A$300=$A64)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4" s="19">
        <f>IF($A64="","",IF(COUNTIFS(Måned!$A$5:$A$2000,$A64,Måned!$C$5:$C$2000,MONTH(X$5+3))=0,"",MAX(1,MIN(5,SUMIFS(Måned!$H$5:$H$2000,Måned!$A$5:$A$2000,$A64,Måned!$C$5:$C$2000,MONTH(X$5+3))+SUMPRODUCT((Vinduer!$A$5:$A$300=$A64)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4" s="19">
        <f>IF($A64="","",IF(COUNTIFS(Måned!$A$5:$A$2000,$A64,Måned!$C$5:$C$2000,MONTH(Y$5+3))=0,"",MAX(1,MIN(5,SUMIFS(Måned!$H$5:$H$2000,Måned!$A$5:$A$2000,$A64,Måned!$C$5:$C$2000,MONTH(Y$5+3))+SUMPRODUCT((Vinduer!$A$5:$A$300=$A64)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4" s="19">
        <f>IF($A64="","",IF(COUNTIFS(Måned!$A$5:$A$2000,$A64,Måned!$C$5:$C$2000,MONTH(Z$5+3))=0,"",MAX(1,MIN(5,SUMIFS(Måned!$H$5:$H$2000,Måned!$A$5:$A$2000,$A64,Måned!$C$5:$C$2000,MONTH(Z$5+3))+SUMPRODUCT((Vinduer!$A$5:$A$300=$A64)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4" s="19">
        <f>IF($A64="","",IF(COUNTIFS(Måned!$A$5:$A$2000,$A64,Måned!$C$5:$C$2000,MONTH(AA$5+3))=0,"",MAX(1,MIN(5,SUMIFS(Måned!$H$5:$H$2000,Måned!$A$5:$A$2000,$A64,Måned!$C$5:$C$2000,MONTH(AA$5+3))+SUMPRODUCT((Vinduer!$A$5:$A$300=$A64)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4" s="19">
        <f>IF($A64="","",IF(COUNTIFS(Måned!$A$5:$A$2000,$A64,Måned!$C$5:$C$2000,MONTH(AB$5+3))=0,"",MAX(1,MIN(5,SUMIFS(Måned!$H$5:$H$2000,Måned!$A$5:$A$2000,$A64,Måned!$C$5:$C$2000,MONTH(AB$5+3))+SUMPRODUCT((Vinduer!$A$5:$A$300=$A64)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4" s="19">
        <f>IF($A64="","",IF(COUNTIFS(Måned!$A$5:$A$2000,$A64,Måned!$C$5:$C$2000,MONTH(AC$5+3))=0,"",MAX(1,MIN(5,SUMIFS(Måned!$H$5:$H$2000,Måned!$A$5:$A$2000,$A64,Måned!$C$5:$C$2000,MONTH(AC$5+3))+SUMPRODUCT((Vinduer!$A$5:$A$300=$A64)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4" s="19">
        <f>IF($A64="","",IF(COUNTIFS(Måned!$A$5:$A$2000,$A64,Måned!$C$5:$C$2000,MONTH(AD$5+3))=0,"",MAX(1,MIN(5,SUMIFS(Måned!$H$5:$H$2000,Måned!$A$5:$A$2000,$A64,Måned!$C$5:$C$2000,MONTH(AD$5+3))+SUMPRODUCT((Vinduer!$A$5:$A$300=$A64)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4" s="19">
        <f>IF($A64="","",IF(COUNTIFS(Måned!$A$5:$A$2000,$A64,Måned!$C$5:$C$2000,MONTH(AE$5+3))=0,"",MAX(1,MIN(5,SUMIFS(Måned!$H$5:$H$2000,Måned!$A$5:$A$2000,$A64,Måned!$C$5:$C$2000,MONTH(AE$5+3))+SUMPRODUCT((Vinduer!$A$5:$A$300=$A64)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4" s="19">
        <f>IF($A64="","",IF(COUNTIFS(Måned!$A$5:$A$2000,$A64,Måned!$C$5:$C$2000,MONTH(AF$5+3))=0,"",MAX(1,MIN(5,SUMIFS(Måned!$H$5:$H$2000,Måned!$A$5:$A$2000,$A64,Måned!$C$5:$C$2000,MONTH(AF$5+3))+SUMPRODUCT((Vinduer!$A$5:$A$300=$A64)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4" s="19">
        <f>IF($A64="","",IF(COUNTIFS(Måned!$A$5:$A$2000,$A64,Måned!$C$5:$C$2000,MONTH(AG$5+3))=0,"",MAX(1,MIN(5,SUMIFS(Måned!$H$5:$H$2000,Måned!$A$5:$A$2000,$A64,Måned!$C$5:$C$2000,MONTH(AG$5+3))+SUMPRODUCT((Vinduer!$A$5:$A$300=$A64)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4" s="19">
        <f>IF($A64="","",IF(COUNTIFS(Måned!$A$5:$A$2000,$A64,Måned!$C$5:$C$2000,MONTH(AH$5+3))=0,"",MAX(1,MIN(5,SUMIFS(Måned!$H$5:$H$2000,Måned!$A$5:$A$2000,$A64,Måned!$C$5:$C$2000,MONTH(AH$5+3))+SUMPRODUCT((Vinduer!$A$5:$A$300=$A64)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4" s="19">
        <f>IF($A64="","",IF(COUNTIFS(Måned!$A$5:$A$2000,$A64,Måned!$C$5:$C$2000,MONTH(AI$5+3))=0,"",MAX(1,MIN(5,SUMIFS(Måned!$H$5:$H$2000,Måned!$A$5:$A$2000,$A64,Måned!$C$5:$C$2000,MONTH(AI$5+3))+SUMPRODUCT((Vinduer!$A$5:$A$300=$A64)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4" s="19">
        <f>IF($A64="","",IF(COUNTIFS(Måned!$A$5:$A$2000,$A64,Måned!$C$5:$C$2000,MONTH(AJ$5+3))=0,"",MAX(1,MIN(5,SUMIFS(Måned!$H$5:$H$2000,Måned!$A$5:$A$2000,$A64,Måned!$C$5:$C$2000,MONTH(AJ$5+3))+SUMPRODUCT((Vinduer!$A$5:$A$300=$A64)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4" s="19">
        <f>IF($A64="","",IF(COUNTIFS(Måned!$A$5:$A$2000,$A64,Måned!$C$5:$C$2000,MONTH(AK$5+3))=0,"",MAX(1,MIN(5,SUMIFS(Måned!$H$5:$H$2000,Måned!$A$5:$A$2000,$A64,Måned!$C$5:$C$2000,MONTH(AK$5+3))+SUMPRODUCT((Vinduer!$A$5:$A$300=$A64)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4" s="19">
        <f>IF($A64="","",IF(COUNTIFS(Måned!$A$5:$A$2000,$A64,Måned!$C$5:$C$2000,MONTH(AL$5+3))=0,"",MAX(1,MIN(5,SUMIFS(Måned!$H$5:$H$2000,Måned!$A$5:$A$2000,$A64,Måned!$C$5:$C$2000,MONTH(AL$5+3))+SUMPRODUCT((Vinduer!$A$5:$A$300=$A64)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4" s="19">
        <f>IF($A64="","",IF(COUNTIFS(Måned!$A$5:$A$2000,$A64,Måned!$C$5:$C$2000,MONTH(AM$5+3))=0,"",MAX(1,MIN(5,SUMIFS(Måned!$H$5:$H$2000,Måned!$A$5:$A$2000,$A64,Måned!$C$5:$C$2000,MONTH(AM$5+3))+SUMPRODUCT((Vinduer!$A$5:$A$300=$A64)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4" s="19">
        <f>IF($A64="","",IF(COUNTIFS(Måned!$A$5:$A$2000,$A64,Måned!$C$5:$C$2000,MONTH(AN$5+3))=0,"",MAX(1,MIN(5,SUMIFS(Måned!$H$5:$H$2000,Måned!$A$5:$A$2000,$A64,Måned!$C$5:$C$2000,MONTH(AN$5+3))+SUMPRODUCT((Vinduer!$A$5:$A$300=$A64)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4" s="19">
        <f>IF($A64="","",IF(COUNTIFS(Måned!$A$5:$A$2000,$A64,Måned!$C$5:$C$2000,MONTH(AO$5+3))=0,"",MAX(1,MIN(5,SUMIFS(Måned!$H$5:$H$2000,Måned!$A$5:$A$2000,$A64,Måned!$C$5:$C$2000,MONTH(AO$5+3))+SUMPRODUCT((Vinduer!$A$5:$A$300=$A64)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4" s="19">
        <f>IF($A64="","",IF(COUNTIFS(Måned!$A$5:$A$2000,$A64,Måned!$C$5:$C$2000,MONTH(AP$5+3))=0,"",MAX(1,MIN(5,SUMIFS(Måned!$H$5:$H$2000,Måned!$A$5:$A$2000,$A64,Måned!$C$5:$C$2000,MONTH(AP$5+3))+SUMPRODUCT((Vinduer!$A$5:$A$300=$A64)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4" s="19">
        <f>IF($A64="","",IF(COUNTIFS(Måned!$A$5:$A$2000,$A64,Måned!$C$5:$C$2000,MONTH(AQ$5+3))=0,"",MAX(1,MIN(5,SUMIFS(Måned!$H$5:$H$2000,Måned!$A$5:$A$2000,$A64,Måned!$C$5:$C$2000,MONTH(AQ$5+3))+SUMPRODUCT((Vinduer!$A$5:$A$300=$A64)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4" s="19">
        <f>IF($A64="","",IF(COUNTIFS(Måned!$A$5:$A$2000,$A64,Måned!$C$5:$C$2000,MONTH(AR$5+3))=0,"",MAX(1,MIN(5,SUMIFS(Måned!$H$5:$H$2000,Måned!$A$5:$A$2000,$A64,Måned!$C$5:$C$2000,MONTH(AR$5+3))+SUMPRODUCT((Vinduer!$A$5:$A$300=$A64)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4" s="19">
        <f>IF($A64="","",IF(COUNTIFS(Måned!$A$5:$A$2000,$A64,Måned!$C$5:$C$2000,MONTH(AS$5+3))=0,"",MAX(1,MIN(5,SUMIFS(Måned!$H$5:$H$2000,Måned!$A$5:$A$2000,$A64,Måned!$C$5:$C$2000,MONTH(AS$5+3))+SUMPRODUCT((Vinduer!$A$5:$A$300=$A64)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4" s="19">
        <f>IF($A64="","",IF(COUNTIFS(Måned!$A$5:$A$2000,$A64,Måned!$C$5:$C$2000,MONTH(AT$5+3))=0,"",MAX(1,MIN(5,SUMIFS(Måned!$H$5:$H$2000,Måned!$A$5:$A$2000,$A64,Måned!$C$5:$C$2000,MONTH(AT$5+3))+SUMPRODUCT((Vinduer!$A$5:$A$300=$A64)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4" s="19">
        <f>IF($A64="","",IF(COUNTIFS(Måned!$A$5:$A$2000,$A64,Måned!$C$5:$C$2000,MONTH(AU$5+3))=0,"",MAX(1,MIN(5,SUMIFS(Måned!$H$5:$H$2000,Måned!$A$5:$A$2000,$A64,Måned!$C$5:$C$2000,MONTH(AU$5+3))+SUMPRODUCT((Vinduer!$A$5:$A$300=$A64)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4" s="19">
        <f>IF($A64="","",IF(COUNTIFS(Måned!$A$5:$A$2000,$A64,Måned!$C$5:$C$2000,MONTH(AV$5+3))=0,"",MAX(1,MIN(5,SUMIFS(Måned!$H$5:$H$2000,Måned!$A$5:$A$2000,$A64,Måned!$C$5:$C$2000,MONTH(AV$5+3))+SUMPRODUCT((Vinduer!$A$5:$A$300=$A64)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4" s="19">
        <f>IF($A64="","",IF(COUNTIFS(Måned!$A$5:$A$2000,$A64,Måned!$C$5:$C$2000,MONTH(AW$5+3))=0,"",MAX(1,MIN(5,SUMIFS(Måned!$H$5:$H$2000,Måned!$A$5:$A$2000,$A64,Måned!$C$5:$C$2000,MONTH(AW$5+3))+SUMPRODUCT((Vinduer!$A$5:$A$300=$A64)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4" s="19">
        <f>IF($A64="","",IF(COUNTIFS(Måned!$A$5:$A$2000,$A64,Måned!$C$5:$C$2000,MONTH(AX$5+3))=0,"",MAX(1,MIN(5,SUMIFS(Måned!$H$5:$H$2000,Måned!$A$5:$A$2000,$A64,Måned!$C$5:$C$2000,MONTH(AX$5+3))+SUMPRODUCT((Vinduer!$A$5:$A$300=$A64)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4" s="19">
        <f>IF($A64="","",IF(COUNTIFS(Måned!$A$5:$A$2000,$A64,Måned!$C$5:$C$2000,MONTH(AY$5+3))=0,"",MAX(1,MIN(5,SUMIFS(Måned!$H$5:$H$2000,Måned!$A$5:$A$2000,$A64,Måned!$C$5:$C$2000,MONTH(AY$5+3))+SUMPRODUCT((Vinduer!$A$5:$A$300=$A64)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4" s="19">
        <f>IF($A64="","",IF(COUNTIFS(Måned!$A$5:$A$2000,$A64,Måned!$C$5:$C$2000,MONTH(AZ$5+3))=0,"",MAX(1,MIN(5,SUMIFS(Måned!$H$5:$H$2000,Måned!$A$5:$A$2000,$A64,Måned!$C$5:$C$2000,MONTH(AZ$5+3))+SUMPRODUCT((Vinduer!$A$5:$A$300=$A64)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4" s="19">
        <f>IF($A64="","",IF(COUNTIFS(Måned!$A$5:$A$2000,$A64,Måned!$C$5:$C$2000,MONTH(BA$5+3))=0,"",MAX(1,MIN(5,SUMIFS(Måned!$H$5:$H$2000,Måned!$A$5:$A$2000,$A64,Måned!$C$5:$C$2000,MONTH(BA$5+3))+SUMPRODUCT((Vinduer!$A$5:$A$300=$A64)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4" s="19">
        <f>IF($A64="","",IF(COUNTIFS(Måned!$A$5:$A$2000,$A64,Måned!$C$5:$C$2000,MONTH(BB$5+3))=0,"",MAX(1,MIN(5,SUMIFS(Måned!$H$5:$H$2000,Måned!$A$5:$A$2000,$A64,Måned!$C$5:$C$2000,MONTH(BB$5+3))+SUMPRODUCT((Vinduer!$A$5:$A$300=$A64)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4" s="19">
        <f>IF($A64="","",IF(COUNTIFS(Måned!$A$5:$A$2000,$A64,Måned!$C$5:$C$2000,MONTH(BC$5+3))=0,"",MAX(1,MIN(5,SUMIFS(Måned!$H$5:$H$2000,Måned!$A$5:$A$2000,$A64,Måned!$C$5:$C$2000,MONTH(BC$5+3))+SUMPRODUCT((Vinduer!$A$5:$A$300=$A64)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4" s="19">
        <f>IF($A64="","",IF(COUNTIFS(Måned!$A$5:$A$2000,$A64,Måned!$C$5:$C$2000,MONTH(BD$5+3))=0,"",MAX(1,MIN(5,SUMIFS(Måned!$H$5:$H$2000,Måned!$A$5:$A$2000,$A64,Måned!$C$5:$C$2000,MONTH(BD$5+3))+SUMPRODUCT((Vinduer!$A$5:$A$300=$A64)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4" s="19">
        <f>IF($A64="","",IF(COUNTIFS(Måned!$A$5:$A$2000,$A64,Måned!$C$5:$C$2000,MONTH(BE$5+3))=0,"",MAX(1,MIN(5,SUMIFS(Måned!$H$5:$H$2000,Måned!$A$5:$A$2000,$A64,Måned!$C$5:$C$2000,MONTH(BE$5+3))+SUMPRODUCT((Vinduer!$A$5:$A$300=$A64)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5">
      <c r="A65" s="5">
        <f>IF(Destinasjoner!A61="","",Destinasjoner!A61)</f>
        <v/>
      </c>
      <c r="B65" s="5">
        <f>IF(A65="","",Destinasjoner!E61)</f>
        <v/>
      </c>
      <c r="C65" s="5">
        <f>IF(A65="","",Destinasjoner!B61)</f>
        <v/>
      </c>
      <c r="D65" s="17">
        <f>IFERROR(SUMIFS(F65:BE65,$F$7:$BE$7,"x")/COUNTIFS($F$7:$BE$7,"x",F65:BE65,"&gt;0"),"")</f>
        <v/>
      </c>
      <c r="E65" s="18">
        <f>IF(D65="","",_xlfn.MINIFS(F65:BE65,$F$7:$BE$7,"x",F65:BE65,"&gt;0"))</f>
        <v/>
      </c>
      <c r="F65" s="19">
        <f>IF($A65="","",IF(COUNTIFS(Måned!$A$5:$A$2000,$A65,Måned!$C$5:$C$2000,MONTH(F$5+3))=0,"",MAX(1,MIN(5,SUMIFS(Måned!$H$5:$H$2000,Måned!$A$5:$A$2000,$A65,Måned!$C$5:$C$2000,MONTH(F$5+3))+SUMPRODUCT((Vinduer!$A$5:$A$300=$A65)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5" s="19">
        <f>IF($A65="","",IF(COUNTIFS(Måned!$A$5:$A$2000,$A65,Måned!$C$5:$C$2000,MONTH(G$5+3))=0,"",MAX(1,MIN(5,SUMIFS(Måned!$H$5:$H$2000,Måned!$A$5:$A$2000,$A65,Måned!$C$5:$C$2000,MONTH(G$5+3))+SUMPRODUCT((Vinduer!$A$5:$A$300=$A65)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5" s="19">
        <f>IF($A65="","",IF(COUNTIFS(Måned!$A$5:$A$2000,$A65,Måned!$C$5:$C$2000,MONTH(H$5+3))=0,"",MAX(1,MIN(5,SUMIFS(Måned!$H$5:$H$2000,Måned!$A$5:$A$2000,$A65,Måned!$C$5:$C$2000,MONTH(H$5+3))+SUMPRODUCT((Vinduer!$A$5:$A$300=$A65)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5" s="19">
        <f>IF($A65="","",IF(COUNTIFS(Måned!$A$5:$A$2000,$A65,Måned!$C$5:$C$2000,MONTH(I$5+3))=0,"",MAX(1,MIN(5,SUMIFS(Måned!$H$5:$H$2000,Måned!$A$5:$A$2000,$A65,Måned!$C$5:$C$2000,MONTH(I$5+3))+SUMPRODUCT((Vinduer!$A$5:$A$300=$A65)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5" s="19">
        <f>IF($A65="","",IF(COUNTIFS(Måned!$A$5:$A$2000,$A65,Måned!$C$5:$C$2000,MONTH(J$5+3))=0,"",MAX(1,MIN(5,SUMIFS(Måned!$H$5:$H$2000,Måned!$A$5:$A$2000,$A65,Måned!$C$5:$C$2000,MONTH(J$5+3))+SUMPRODUCT((Vinduer!$A$5:$A$300=$A65)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5" s="19">
        <f>IF($A65="","",IF(COUNTIFS(Måned!$A$5:$A$2000,$A65,Måned!$C$5:$C$2000,MONTH(K$5+3))=0,"",MAX(1,MIN(5,SUMIFS(Måned!$H$5:$H$2000,Måned!$A$5:$A$2000,$A65,Måned!$C$5:$C$2000,MONTH(K$5+3))+SUMPRODUCT((Vinduer!$A$5:$A$300=$A65)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5" s="19">
        <f>IF($A65="","",IF(COUNTIFS(Måned!$A$5:$A$2000,$A65,Måned!$C$5:$C$2000,MONTH(L$5+3))=0,"",MAX(1,MIN(5,SUMIFS(Måned!$H$5:$H$2000,Måned!$A$5:$A$2000,$A65,Måned!$C$5:$C$2000,MONTH(L$5+3))+SUMPRODUCT((Vinduer!$A$5:$A$300=$A65)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5" s="19">
        <f>IF($A65="","",IF(COUNTIFS(Måned!$A$5:$A$2000,$A65,Måned!$C$5:$C$2000,MONTH(M$5+3))=0,"",MAX(1,MIN(5,SUMIFS(Måned!$H$5:$H$2000,Måned!$A$5:$A$2000,$A65,Måned!$C$5:$C$2000,MONTH(M$5+3))+SUMPRODUCT((Vinduer!$A$5:$A$300=$A65)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5" s="19">
        <f>IF($A65="","",IF(COUNTIFS(Måned!$A$5:$A$2000,$A65,Måned!$C$5:$C$2000,MONTH(N$5+3))=0,"",MAX(1,MIN(5,SUMIFS(Måned!$H$5:$H$2000,Måned!$A$5:$A$2000,$A65,Måned!$C$5:$C$2000,MONTH(N$5+3))+SUMPRODUCT((Vinduer!$A$5:$A$300=$A65)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5" s="19">
        <f>IF($A65="","",IF(COUNTIFS(Måned!$A$5:$A$2000,$A65,Måned!$C$5:$C$2000,MONTH(O$5+3))=0,"",MAX(1,MIN(5,SUMIFS(Måned!$H$5:$H$2000,Måned!$A$5:$A$2000,$A65,Måned!$C$5:$C$2000,MONTH(O$5+3))+SUMPRODUCT((Vinduer!$A$5:$A$300=$A65)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5" s="19">
        <f>IF($A65="","",IF(COUNTIFS(Måned!$A$5:$A$2000,$A65,Måned!$C$5:$C$2000,MONTH(P$5+3))=0,"",MAX(1,MIN(5,SUMIFS(Måned!$H$5:$H$2000,Måned!$A$5:$A$2000,$A65,Måned!$C$5:$C$2000,MONTH(P$5+3))+SUMPRODUCT((Vinduer!$A$5:$A$300=$A65)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5" s="19">
        <f>IF($A65="","",IF(COUNTIFS(Måned!$A$5:$A$2000,$A65,Måned!$C$5:$C$2000,MONTH(Q$5+3))=0,"",MAX(1,MIN(5,SUMIFS(Måned!$H$5:$H$2000,Måned!$A$5:$A$2000,$A65,Måned!$C$5:$C$2000,MONTH(Q$5+3))+SUMPRODUCT((Vinduer!$A$5:$A$300=$A65)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5" s="19">
        <f>IF($A65="","",IF(COUNTIFS(Måned!$A$5:$A$2000,$A65,Måned!$C$5:$C$2000,MONTH(R$5+3))=0,"",MAX(1,MIN(5,SUMIFS(Måned!$H$5:$H$2000,Måned!$A$5:$A$2000,$A65,Måned!$C$5:$C$2000,MONTH(R$5+3))+SUMPRODUCT((Vinduer!$A$5:$A$300=$A65)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5" s="19">
        <f>IF($A65="","",IF(COUNTIFS(Måned!$A$5:$A$2000,$A65,Måned!$C$5:$C$2000,MONTH(S$5+3))=0,"",MAX(1,MIN(5,SUMIFS(Måned!$H$5:$H$2000,Måned!$A$5:$A$2000,$A65,Måned!$C$5:$C$2000,MONTH(S$5+3))+SUMPRODUCT((Vinduer!$A$5:$A$300=$A65)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5" s="19">
        <f>IF($A65="","",IF(COUNTIFS(Måned!$A$5:$A$2000,$A65,Måned!$C$5:$C$2000,MONTH(T$5+3))=0,"",MAX(1,MIN(5,SUMIFS(Måned!$H$5:$H$2000,Måned!$A$5:$A$2000,$A65,Måned!$C$5:$C$2000,MONTH(T$5+3))+SUMPRODUCT((Vinduer!$A$5:$A$300=$A65)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5" s="19">
        <f>IF($A65="","",IF(COUNTIFS(Måned!$A$5:$A$2000,$A65,Måned!$C$5:$C$2000,MONTH(U$5+3))=0,"",MAX(1,MIN(5,SUMIFS(Måned!$H$5:$H$2000,Måned!$A$5:$A$2000,$A65,Måned!$C$5:$C$2000,MONTH(U$5+3))+SUMPRODUCT((Vinduer!$A$5:$A$300=$A65)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5" s="19">
        <f>IF($A65="","",IF(COUNTIFS(Måned!$A$5:$A$2000,$A65,Måned!$C$5:$C$2000,MONTH(V$5+3))=0,"",MAX(1,MIN(5,SUMIFS(Måned!$H$5:$H$2000,Måned!$A$5:$A$2000,$A65,Måned!$C$5:$C$2000,MONTH(V$5+3))+SUMPRODUCT((Vinduer!$A$5:$A$300=$A65)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5" s="19">
        <f>IF($A65="","",IF(COUNTIFS(Måned!$A$5:$A$2000,$A65,Måned!$C$5:$C$2000,MONTH(W$5+3))=0,"",MAX(1,MIN(5,SUMIFS(Måned!$H$5:$H$2000,Måned!$A$5:$A$2000,$A65,Måned!$C$5:$C$2000,MONTH(W$5+3))+SUMPRODUCT((Vinduer!$A$5:$A$300=$A65)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5" s="19">
        <f>IF($A65="","",IF(COUNTIFS(Måned!$A$5:$A$2000,$A65,Måned!$C$5:$C$2000,MONTH(X$5+3))=0,"",MAX(1,MIN(5,SUMIFS(Måned!$H$5:$H$2000,Måned!$A$5:$A$2000,$A65,Måned!$C$5:$C$2000,MONTH(X$5+3))+SUMPRODUCT((Vinduer!$A$5:$A$300=$A65)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5" s="19">
        <f>IF($A65="","",IF(COUNTIFS(Måned!$A$5:$A$2000,$A65,Måned!$C$5:$C$2000,MONTH(Y$5+3))=0,"",MAX(1,MIN(5,SUMIFS(Måned!$H$5:$H$2000,Måned!$A$5:$A$2000,$A65,Måned!$C$5:$C$2000,MONTH(Y$5+3))+SUMPRODUCT((Vinduer!$A$5:$A$300=$A65)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5" s="19">
        <f>IF($A65="","",IF(COUNTIFS(Måned!$A$5:$A$2000,$A65,Måned!$C$5:$C$2000,MONTH(Z$5+3))=0,"",MAX(1,MIN(5,SUMIFS(Måned!$H$5:$H$2000,Måned!$A$5:$A$2000,$A65,Måned!$C$5:$C$2000,MONTH(Z$5+3))+SUMPRODUCT((Vinduer!$A$5:$A$300=$A65)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5" s="19">
        <f>IF($A65="","",IF(COUNTIFS(Måned!$A$5:$A$2000,$A65,Måned!$C$5:$C$2000,MONTH(AA$5+3))=0,"",MAX(1,MIN(5,SUMIFS(Måned!$H$5:$H$2000,Måned!$A$5:$A$2000,$A65,Måned!$C$5:$C$2000,MONTH(AA$5+3))+SUMPRODUCT((Vinduer!$A$5:$A$300=$A65)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5" s="19">
        <f>IF($A65="","",IF(COUNTIFS(Måned!$A$5:$A$2000,$A65,Måned!$C$5:$C$2000,MONTH(AB$5+3))=0,"",MAX(1,MIN(5,SUMIFS(Måned!$H$5:$H$2000,Måned!$A$5:$A$2000,$A65,Måned!$C$5:$C$2000,MONTH(AB$5+3))+SUMPRODUCT((Vinduer!$A$5:$A$300=$A65)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5" s="19">
        <f>IF($A65="","",IF(COUNTIFS(Måned!$A$5:$A$2000,$A65,Måned!$C$5:$C$2000,MONTH(AC$5+3))=0,"",MAX(1,MIN(5,SUMIFS(Måned!$H$5:$H$2000,Måned!$A$5:$A$2000,$A65,Måned!$C$5:$C$2000,MONTH(AC$5+3))+SUMPRODUCT((Vinduer!$A$5:$A$300=$A65)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5" s="19">
        <f>IF($A65="","",IF(COUNTIFS(Måned!$A$5:$A$2000,$A65,Måned!$C$5:$C$2000,MONTH(AD$5+3))=0,"",MAX(1,MIN(5,SUMIFS(Måned!$H$5:$H$2000,Måned!$A$5:$A$2000,$A65,Måned!$C$5:$C$2000,MONTH(AD$5+3))+SUMPRODUCT((Vinduer!$A$5:$A$300=$A65)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5" s="19">
        <f>IF($A65="","",IF(COUNTIFS(Måned!$A$5:$A$2000,$A65,Måned!$C$5:$C$2000,MONTH(AE$5+3))=0,"",MAX(1,MIN(5,SUMIFS(Måned!$H$5:$H$2000,Måned!$A$5:$A$2000,$A65,Måned!$C$5:$C$2000,MONTH(AE$5+3))+SUMPRODUCT((Vinduer!$A$5:$A$300=$A65)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5" s="19">
        <f>IF($A65="","",IF(COUNTIFS(Måned!$A$5:$A$2000,$A65,Måned!$C$5:$C$2000,MONTH(AF$5+3))=0,"",MAX(1,MIN(5,SUMIFS(Måned!$H$5:$H$2000,Måned!$A$5:$A$2000,$A65,Måned!$C$5:$C$2000,MONTH(AF$5+3))+SUMPRODUCT((Vinduer!$A$5:$A$300=$A65)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5" s="19">
        <f>IF($A65="","",IF(COUNTIFS(Måned!$A$5:$A$2000,$A65,Måned!$C$5:$C$2000,MONTH(AG$5+3))=0,"",MAX(1,MIN(5,SUMIFS(Måned!$H$5:$H$2000,Måned!$A$5:$A$2000,$A65,Måned!$C$5:$C$2000,MONTH(AG$5+3))+SUMPRODUCT((Vinduer!$A$5:$A$300=$A65)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5" s="19">
        <f>IF($A65="","",IF(COUNTIFS(Måned!$A$5:$A$2000,$A65,Måned!$C$5:$C$2000,MONTH(AH$5+3))=0,"",MAX(1,MIN(5,SUMIFS(Måned!$H$5:$H$2000,Måned!$A$5:$A$2000,$A65,Måned!$C$5:$C$2000,MONTH(AH$5+3))+SUMPRODUCT((Vinduer!$A$5:$A$300=$A65)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5" s="19">
        <f>IF($A65="","",IF(COUNTIFS(Måned!$A$5:$A$2000,$A65,Måned!$C$5:$C$2000,MONTH(AI$5+3))=0,"",MAX(1,MIN(5,SUMIFS(Måned!$H$5:$H$2000,Måned!$A$5:$A$2000,$A65,Måned!$C$5:$C$2000,MONTH(AI$5+3))+SUMPRODUCT((Vinduer!$A$5:$A$300=$A65)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5" s="19">
        <f>IF($A65="","",IF(COUNTIFS(Måned!$A$5:$A$2000,$A65,Måned!$C$5:$C$2000,MONTH(AJ$5+3))=0,"",MAX(1,MIN(5,SUMIFS(Måned!$H$5:$H$2000,Måned!$A$5:$A$2000,$A65,Måned!$C$5:$C$2000,MONTH(AJ$5+3))+SUMPRODUCT((Vinduer!$A$5:$A$300=$A65)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5" s="19">
        <f>IF($A65="","",IF(COUNTIFS(Måned!$A$5:$A$2000,$A65,Måned!$C$5:$C$2000,MONTH(AK$5+3))=0,"",MAX(1,MIN(5,SUMIFS(Måned!$H$5:$H$2000,Måned!$A$5:$A$2000,$A65,Måned!$C$5:$C$2000,MONTH(AK$5+3))+SUMPRODUCT((Vinduer!$A$5:$A$300=$A65)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5" s="19">
        <f>IF($A65="","",IF(COUNTIFS(Måned!$A$5:$A$2000,$A65,Måned!$C$5:$C$2000,MONTH(AL$5+3))=0,"",MAX(1,MIN(5,SUMIFS(Måned!$H$5:$H$2000,Måned!$A$5:$A$2000,$A65,Måned!$C$5:$C$2000,MONTH(AL$5+3))+SUMPRODUCT((Vinduer!$A$5:$A$300=$A65)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5" s="19">
        <f>IF($A65="","",IF(COUNTIFS(Måned!$A$5:$A$2000,$A65,Måned!$C$5:$C$2000,MONTH(AM$5+3))=0,"",MAX(1,MIN(5,SUMIFS(Måned!$H$5:$H$2000,Måned!$A$5:$A$2000,$A65,Måned!$C$5:$C$2000,MONTH(AM$5+3))+SUMPRODUCT((Vinduer!$A$5:$A$300=$A65)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5" s="19">
        <f>IF($A65="","",IF(COUNTIFS(Måned!$A$5:$A$2000,$A65,Måned!$C$5:$C$2000,MONTH(AN$5+3))=0,"",MAX(1,MIN(5,SUMIFS(Måned!$H$5:$H$2000,Måned!$A$5:$A$2000,$A65,Måned!$C$5:$C$2000,MONTH(AN$5+3))+SUMPRODUCT((Vinduer!$A$5:$A$300=$A65)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5" s="19">
        <f>IF($A65="","",IF(COUNTIFS(Måned!$A$5:$A$2000,$A65,Måned!$C$5:$C$2000,MONTH(AO$5+3))=0,"",MAX(1,MIN(5,SUMIFS(Måned!$H$5:$H$2000,Måned!$A$5:$A$2000,$A65,Måned!$C$5:$C$2000,MONTH(AO$5+3))+SUMPRODUCT((Vinduer!$A$5:$A$300=$A65)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5" s="19">
        <f>IF($A65="","",IF(COUNTIFS(Måned!$A$5:$A$2000,$A65,Måned!$C$5:$C$2000,MONTH(AP$5+3))=0,"",MAX(1,MIN(5,SUMIFS(Måned!$H$5:$H$2000,Måned!$A$5:$A$2000,$A65,Måned!$C$5:$C$2000,MONTH(AP$5+3))+SUMPRODUCT((Vinduer!$A$5:$A$300=$A65)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5" s="19">
        <f>IF($A65="","",IF(COUNTIFS(Måned!$A$5:$A$2000,$A65,Måned!$C$5:$C$2000,MONTH(AQ$5+3))=0,"",MAX(1,MIN(5,SUMIFS(Måned!$H$5:$H$2000,Måned!$A$5:$A$2000,$A65,Måned!$C$5:$C$2000,MONTH(AQ$5+3))+SUMPRODUCT((Vinduer!$A$5:$A$300=$A65)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5" s="19">
        <f>IF($A65="","",IF(COUNTIFS(Måned!$A$5:$A$2000,$A65,Måned!$C$5:$C$2000,MONTH(AR$5+3))=0,"",MAX(1,MIN(5,SUMIFS(Måned!$H$5:$H$2000,Måned!$A$5:$A$2000,$A65,Måned!$C$5:$C$2000,MONTH(AR$5+3))+SUMPRODUCT((Vinduer!$A$5:$A$300=$A65)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5" s="19">
        <f>IF($A65="","",IF(COUNTIFS(Måned!$A$5:$A$2000,$A65,Måned!$C$5:$C$2000,MONTH(AS$5+3))=0,"",MAX(1,MIN(5,SUMIFS(Måned!$H$5:$H$2000,Måned!$A$5:$A$2000,$A65,Måned!$C$5:$C$2000,MONTH(AS$5+3))+SUMPRODUCT((Vinduer!$A$5:$A$300=$A65)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5" s="19">
        <f>IF($A65="","",IF(COUNTIFS(Måned!$A$5:$A$2000,$A65,Måned!$C$5:$C$2000,MONTH(AT$5+3))=0,"",MAX(1,MIN(5,SUMIFS(Måned!$H$5:$H$2000,Måned!$A$5:$A$2000,$A65,Måned!$C$5:$C$2000,MONTH(AT$5+3))+SUMPRODUCT((Vinduer!$A$5:$A$300=$A65)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5" s="19">
        <f>IF($A65="","",IF(COUNTIFS(Måned!$A$5:$A$2000,$A65,Måned!$C$5:$C$2000,MONTH(AU$5+3))=0,"",MAX(1,MIN(5,SUMIFS(Måned!$H$5:$H$2000,Måned!$A$5:$A$2000,$A65,Måned!$C$5:$C$2000,MONTH(AU$5+3))+SUMPRODUCT((Vinduer!$A$5:$A$300=$A65)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5" s="19">
        <f>IF($A65="","",IF(COUNTIFS(Måned!$A$5:$A$2000,$A65,Måned!$C$5:$C$2000,MONTH(AV$5+3))=0,"",MAX(1,MIN(5,SUMIFS(Måned!$H$5:$H$2000,Måned!$A$5:$A$2000,$A65,Måned!$C$5:$C$2000,MONTH(AV$5+3))+SUMPRODUCT((Vinduer!$A$5:$A$300=$A65)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5" s="19">
        <f>IF($A65="","",IF(COUNTIFS(Måned!$A$5:$A$2000,$A65,Måned!$C$5:$C$2000,MONTH(AW$5+3))=0,"",MAX(1,MIN(5,SUMIFS(Måned!$H$5:$H$2000,Måned!$A$5:$A$2000,$A65,Måned!$C$5:$C$2000,MONTH(AW$5+3))+SUMPRODUCT((Vinduer!$A$5:$A$300=$A65)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5" s="19">
        <f>IF($A65="","",IF(COUNTIFS(Måned!$A$5:$A$2000,$A65,Måned!$C$5:$C$2000,MONTH(AX$5+3))=0,"",MAX(1,MIN(5,SUMIFS(Måned!$H$5:$H$2000,Måned!$A$5:$A$2000,$A65,Måned!$C$5:$C$2000,MONTH(AX$5+3))+SUMPRODUCT((Vinduer!$A$5:$A$300=$A65)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5" s="19">
        <f>IF($A65="","",IF(COUNTIFS(Måned!$A$5:$A$2000,$A65,Måned!$C$5:$C$2000,MONTH(AY$5+3))=0,"",MAX(1,MIN(5,SUMIFS(Måned!$H$5:$H$2000,Måned!$A$5:$A$2000,$A65,Måned!$C$5:$C$2000,MONTH(AY$5+3))+SUMPRODUCT((Vinduer!$A$5:$A$300=$A65)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5" s="19">
        <f>IF($A65="","",IF(COUNTIFS(Måned!$A$5:$A$2000,$A65,Måned!$C$5:$C$2000,MONTH(AZ$5+3))=0,"",MAX(1,MIN(5,SUMIFS(Måned!$H$5:$H$2000,Måned!$A$5:$A$2000,$A65,Måned!$C$5:$C$2000,MONTH(AZ$5+3))+SUMPRODUCT((Vinduer!$A$5:$A$300=$A65)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5" s="19">
        <f>IF($A65="","",IF(COUNTIFS(Måned!$A$5:$A$2000,$A65,Måned!$C$5:$C$2000,MONTH(BA$5+3))=0,"",MAX(1,MIN(5,SUMIFS(Måned!$H$5:$H$2000,Måned!$A$5:$A$2000,$A65,Måned!$C$5:$C$2000,MONTH(BA$5+3))+SUMPRODUCT((Vinduer!$A$5:$A$300=$A65)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5" s="19">
        <f>IF($A65="","",IF(COUNTIFS(Måned!$A$5:$A$2000,$A65,Måned!$C$5:$C$2000,MONTH(BB$5+3))=0,"",MAX(1,MIN(5,SUMIFS(Måned!$H$5:$H$2000,Måned!$A$5:$A$2000,$A65,Måned!$C$5:$C$2000,MONTH(BB$5+3))+SUMPRODUCT((Vinduer!$A$5:$A$300=$A65)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5" s="19">
        <f>IF($A65="","",IF(COUNTIFS(Måned!$A$5:$A$2000,$A65,Måned!$C$5:$C$2000,MONTH(BC$5+3))=0,"",MAX(1,MIN(5,SUMIFS(Måned!$H$5:$H$2000,Måned!$A$5:$A$2000,$A65,Måned!$C$5:$C$2000,MONTH(BC$5+3))+SUMPRODUCT((Vinduer!$A$5:$A$300=$A65)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5" s="19">
        <f>IF($A65="","",IF(COUNTIFS(Måned!$A$5:$A$2000,$A65,Måned!$C$5:$C$2000,MONTH(BD$5+3))=0,"",MAX(1,MIN(5,SUMIFS(Måned!$H$5:$H$2000,Måned!$A$5:$A$2000,$A65,Måned!$C$5:$C$2000,MONTH(BD$5+3))+SUMPRODUCT((Vinduer!$A$5:$A$300=$A65)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5" s="19">
        <f>IF($A65="","",IF(COUNTIFS(Måned!$A$5:$A$2000,$A65,Måned!$C$5:$C$2000,MONTH(BE$5+3))=0,"",MAX(1,MIN(5,SUMIFS(Måned!$H$5:$H$2000,Måned!$A$5:$A$2000,$A65,Måned!$C$5:$C$2000,MONTH(BE$5+3))+SUMPRODUCT((Vinduer!$A$5:$A$300=$A65)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6">
      <c r="A66" s="5">
        <f>IF(Destinasjoner!A62="","",Destinasjoner!A62)</f>
        <v/>
      </c>
      <c r="B66" s="5">
        <f>IF(A66="","",Destinasjoner!E62)</f>
        <v/>
      </c>
      <c r="C66" s="5">
        <f>IF(A66="","",Destinasjoner!B62)</f>
        <v/>
      </c>
      <c r="D66" s="17">
        <f>IFERROR(SUMIFS(F66:BE66,$F$7:$BE$7,"x")/COUNTIFS($F$7:$BE$7,"x",F66:BE66,"&gt;0"),"")</f>
        <v/>
      </c>
      <c r="E66" s="18">
        <f>IF(D66="","",_xlfn.MINIFS(F66:BE66,$F$7:$BE$7,"x",F66:BE66,"&gt;0"))</f>
        <v/>
      </c>
      <c r="F66" s="19">
        <f>IF($A66="","",IF(COUNTIFS(Måned!$A$5:$A$2000,$A66,Måned!$C$5:$C$2000,MONTH(F$5+3))=0,"",MAX(1,MIN(5,SUMIFS(Måned!$H$5:$H$2000,Måned!$A$5:$A$2000,$A66,Måned!$C$5:$C$2000,MONTH(F$5+3))+SUMPRODUCT((Vinduer!$A$5:$A$300=$A66)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6" s="19">
        <f>IF($A66="","",IF(COUNTIFS(Måned!$A$5:$A$2000,$A66,Måned!$C$5:$C$2000,MONTH(G$5+3))=0,"",MAX(1,MIN(5,SUMIFS(Måned!$H$5:$H$2000,Måned!$A$5:$A$2000,$A66,Måned!$C$5:$C$2000,MONTH(G$5+3))+SUMPRODUCT((Vinduer!$A$5:$A$300=$A66)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6" s="19">
        <f>IF($A66="","",IF(COUNTIFS(Måned!$A$5:$A$2000,$A66,Måned!$C$5:$C$2000,MONTH(H$5+3))=0,"",MAX(1,MIN(5,SUMIFS(Måned!$H$5:$H$2000,Måned!$A$5:$A$2000,$A66,Måned!$C$5:$C$2000,MONTH(H$5+3))+SUMPRODUCT((Vinduer!$A$5:$A$300=$A66)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6" s="19">
        <f>IF($A66="","",IF(COUNTIFS(Måned!$A$5:$A$2000,$A66,Måned!$C$5:$C$2000,MONTH(I$5+3))=0,"",MAX(1,MIN(5,SUMIFS(Måned!$H$5:$H$2000,Måned!$A$5:$A$2000,$A66,Måned!$C$5:$C$2000,MONTH(I$5+3))+SUMPRODUCT((Vinduer!$A$5:$A$300=$A66)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6" s="19">
        <f>IF($A66="","",IF(COUNTIFS(Måned!$A$5:$A$2000,$A66,Måned!$C$5:$C$2000,MONTH(J$5+3))=0,"",MAX(1,MIN(5,SUMIFS(Måned!$H$5:$H$2000,Måned!$A$5:$A$2000,$A66,Måned!$C$5:$C$2000,MONTH(J$5+3))+SUMPRODUCT((Vinduer!$A$5:$A$300=$A66)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6" s="19">
        <f>IF($A66="","",IF(COUNTIFS(Måned!$A$5:$A$2000,$A66,Måned!$C$5:$C$2000,MONTH(K$5+3))=0,"",MAX(1,MIN(5,SUMIFS(Måned!$H$5:$H$2000,Måned!$A$5:$A$2000,$A66,Måned!$C$5:$C$2000,MONTH(K$5+3))+SUMPRODUCT((Vinduer!$A$5:$A$300=$A66)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6" s="19">
        <f>IF($A66="","",IF(COUNTIFS(Måned!$A$5:$A$2000,$A66,Måned!$C$5:$C$2000,MONTH(L$5+3))=0,"",MAX(1,MIN(5,SUMIFS(Måned!$H$5:$H$2000,Måned!$A$5:$A$2000,$A66,Måned!$C$5:$C$2000,MONTH(L$5+3))+SUMPRODUCT((Vinduer!$A$5:$A$300=$A66)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6" s="19">
        <f>IF($A66="","",IF(COUNTIFS(Måned!$A$5:$A$2000,$A66,Måned!$C$5:$C$2000,MONTH(M$5+3))=0,"",MAX(1,MIN(5,SUMIFS(Måned!$H$5:$H$2000,Måned!$A$5:$A$2000,$A66,Måned!$C$5:$C$2000,MONTH(M$5+3))+SUMPRODUCT((Vinduer!$A$5:$A$300=$A66)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6" s="19">
        <f>IF($A66="","",IF(COUNTIFS(Måned!$A$5:$A$2000,$A66,Måned!$C$5:$C$2000,MONTH(N$5+3))=0,"",MAX(1,MIN(5,SUMIFS(Måned!$H$5:$H$2000,Måned!$A$5:$A$2000,$A66,Måned!$C$5:$C$2000,MONTH(N$5+3))+SUMPRODUCT((Vinduer!$A$5:$A$300=$A66)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6" s="19">
        <f>IF($A66="","",IF(COUNTIFS(Måned!$A$5:$A$2000,$A66,Måned!$C$5:$C$2000,MONTH(O$5+3))=0,"",MAX(1,MIN(5,SUMIFS(Måned!$H$5:$H$2000,Måned!$A$5:$A$2000,$A66,Måned!$C$5:$C$2000,MONTH(O$5+3))+SUMPRODUCT((Vinduer!$A$5:$A$300=$A66)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6" s="19">
        <f>IF($A66="","",IF(COUNTIFS(Måned!$A$5:$A$2000,$A66,Måned!$C$5:$C$2000,MONTH(P$5+3))=0,"",MAX(1,MIN(5,SUMIFS(Måned!$H$5:$H$2000,Måned!$A$5:$A$2000,$A66,Måned!$C$5:$C$2000,MONTH(P$5+3))+SUMPRODUCT((Vinduer!$A$5:$A$300=$A66)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6" s="19">
        <f>IF($A66="","",IF(COUNTIFS(Måned!$A$5:$A$2000,$A66,Måned!$C$5:$C$2000,MONTH(Q$5+3))=0,"",MAX(1,MIN(5,SUMIFS(Måned!$H$5:$H$2000,Måned!$A$5:$A$2000,$A66,Måned!$C$5:$C$2000,MONTH(Q$5+3))+SUMPRODUCT((Vinduer!$A$5:$A$300=$A66)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6" s="19">
        <f>IF($A66="","",IF(COUNTIFS(Måned!$A$5:$A$2000,$A66,Måned!$C$5:$C$2000,MONTH(R$5+3))=0,"",MAX(1,MIN(5,SUMIFS(Måned!$H$5:$H$2000,Måned!$A$5:$A$2000,$A66,Måned!$C$5:$C$2000,MONTH(R$5+3))+SUMPRODUCT((Vinduer!$A$5:$A$300=$A66)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6" s="19">
        <f>IF($A66="","",IF(COUNTIFS(Måned!$A$5:$A$2000,$A66,Måned!$C$5:$C$2000,MONTH(S$5+3))=0,"",MAX(1,MIN(5,SUMIFS(Måned!$H$5:$H$2000,Måned!$A$5:$A$2000,$A66,Måned!$C$5:$C$2000,MONTH(S$5+3))+SUMPRODUCT((Vinduer!$A$5:$A$300=$A66)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6" s="19">
        <f>IF($A66="","",IF(COUNTIFS(Måned!$A$5:$A$2000,$A66,Måned!$C$5:$C$2000,MONTH(T$5+3))=0,"",MAX(1,MIN(5,SUMIFS(Måned!$H$5:$H$2000,Måned!$A$5:$A$2000,$A66,Måned!$C$5:$C$2000,MONTH(T$5+3))+SUMPRODUCT((Vinduer!$A$5:$A$300=$A66)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6" s="19">
        <f>IF($A66="","",IF(COUNTIFS(Måned!$A$5:$A$2000,$A66,Måned!$C$5:$C$2000,MONTH(U$5+3))=0,"",MAX(1,MIN(5,SUMIFS(Måned!$H$5:$H$2000,Måned!$A$5:$A$2000,$A66,Måned!$C$5:$C$2000,MONTH(U$5+3))+SUMPRODUCT((Vinduer!$A$5:$A$300=$A66)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6" s="19">
        <f>IF($A66="","",IF(COUNTIFS(Måned!$A$5:$A$2000,$A66,Måned!$C$5:$C$2000,MONTH(V$5+3))=0,"",MAX(1,MIN(5,SUMIFS(Måned!$H$5:$H$2000,Måned!$A$5:$A$2000,$A66,Måned!$C$5:$C$2000,MONTH(V$5+3))+SUMPRODUCT((Vinduer!$A$5:$A$300=$A66)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6" s="19">
        <f>IF($A66="","",IF(COUNTIFS(Måned!$A$5:$A$2000,$A66,Måned!$C$5:$C$2000,MONTH(W$5+3))=0,"",MAX(1,MIN(5,SUMIFS(Måned!$H$5:$H$2000,Måned!$A$5:$A$2000,$A66,Måned!$C$5:$C$2000,MONTH(W$5+3))+SUMPRODUCT((Vinduer!$A$5:$A$300=$A66)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6" s="19">
        <f>IF($A66="","",IF(COUNTIFS(Måned!$A$5:$A$2000,$A66,Måned!$C$5:$C$2000,MONTH(X$5+3))=0,"",MAX(1,MIN(5,SUMIFS(Måned!$H$5:$H$2000,Måned!$A$5:$A$2000,$A66,Måned!$C$5:$C$2000,MONTH(X$5+3))+SUMPRODUCT((Vinduer!$A$5:$A$300=$A66)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6" s="19">
        <f>IF($A66="","",IF(COUNTIFS(Måned!$A$5:$A$2000,$A66,Måned!$C$5:$C$2000,MONTH(Y$5+3))=0,"",MAX(1,MIN(5,SUMIFS(Måned!$H$5:$H$2000,Måned!$A$5:$A$2000,$A66,Måned!$C$5:$C$2000,MONTH(Y$5+3))+SUMPRODUCT((Vinduer!$A$5:$A$300=$A66)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6" s="19">
        <f>IF($A66="","",IF(COUNTIFS(Måned!$A$5:$A$2000,$A66,Måned!$C$5:$C$2000,MONTH(Z$5+3))=0,"",MAX(1,MIN(5,SUMIFS(Måned!$H$5:$H$2000,Måned!$A$5:$A$2000,$A66,Måned!$C$5:$C$2000,MONTH(Z$5+3))+SUMPRODUCT((Vinduer!$A$5:$A$300=$A66)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6" s="19">
        <f>IF($A66="","",IF(COUNTIFS(Måned!$A$5:$A$2000,$A66,Måned!$C$5:$C$2000,MONTH(AA$5+3))=0,"",MAX(1,MIN(5,SUMIFS(Måned!$H$5:$H$2000,Måned!$A$5:$A$2000,$A66,Måned!$C$5:$C$2000,MONTH(AA$5+3))+SUMPRODUCT((Vinduer!$A$5:$A$300=$A66)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6" s="19">
        <f>IF($A66="","",IF(COUNTIFS(Måned!$A$5:$A$2000,$A66,Måned!$C$5:$C$2000,MONTH(AB$5+3))=0,"",MAX(1,MIN(5,SUMIFS(Måned!$H$5:$H$2000,Måned!$A$5:$A$2000,$A66,Måned!$C$5:$C$2000,MONTH(AB$5+3))+SUMPRODUCT((Vinduer!$A$5:$A$300=$A66)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6" s="19">
        <f>IF($A66="","",IF(COUNTIFS(Måned!$A$5:$A$2000,$A66,Måned!$C$5:$C$2000,MONTH(AC$5+3))=0,"",MAX(1,MIN(5,SUMIFS(Måned!$H$5:$H$2000,Måned!$A$5:$A$2000,$A66,Måned!$C$5:$C$2000,MONTH(AC$5+3))+SUMPRODUCT((Vinduer!$A$5:$A$300=$A66)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6" s="19">
        <f>IF($A66="","",IF(COUNTIFS(Måned!$A$5:$A$2000,$A66,Måned!$C$5:$C$2000,MONTH(AD$5+3))=0,"",MAX(1,MIN(5,SUMIFS(Måned!$H$5:$H$2000,Måned!$A$5:$A$2000,$A66,Måned!$C$5:$C$2000,MONTH(AD$5+3))+SUMPRODUCT((Vinduer!$A$5:$A$300=$A66)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6" s="19">
        <f>IF($A66="","",IF(COUNTIFS(Måned!$A$5:$A$2000,$A66,Måned!$C$5:$C$2000,MONTH(AE$5+3))=0,"",MAX(1,MIN(5,SUMIFS(Måned!$H$5:$H$2000,Måned!$A$5:$A$2000,$A66,Måned!$C$5:$C$2000,MONTH(AE$5+3))+SUMPRODUCT((Vinduer!$A$5:$A$300=$A66)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6" s="19">
        <f>IF($A66="","",IF(COUNTIFS(Måned!$A$5:$A$2000,$A66,Måned!$C$5:$C$2000,MONTH(AF$5+3))=0,"",MAX(1,MIN(5,SUMIFS(Måned!$H$5:$H$2000,Måned!$A$5:$A$2000,$A66,Måned!$C$5:$C$2000,MONTH(AF$5+3))+SUMPRODUCT((Vinduer!$A$5:$A$300=$A66)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6" s="19">
        <f>IF($A66="","",IF(COUNTIFS(Måned!$A$5:$A$2000,$A66,Måned!$C$5:$C$2000,MONTH(AG$5+3))=0,"",MAX(1,MIN(5,SUMIFS(Måned!$H$5:$H$2000,Måned!$A$5:$A$2000,$A66,Måned!$C$5:$C$2000,MONTH(AG$5+3))+SUMPRODUCT((Vinduer!$A$5:$A$300=$A66)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6" s="19">
        <f>IF($A66="","",IF(COUNTIFS(Måned!$A$5:$A$2000,$A66,Måned!$C$5:$C$2000,MONTH(AH$5+3))=0,"",MAX(1,MIN(5,SUMIFS(Måned!$H$5:$H$2000,Måned!$A$5:$A$2000,$A66,Måned!$C$5:$C$2000,MONTH(AH$5+3))+SUMPRODUCT((Vinduer!$A$5:$A$300=$A66)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6" s="19">
        <f>IF($A66="","",IF(COUNTIFS(Måned!$A$5:$A$2000,$A66,Måned!$C$5:$C$2000,MONTH(AI$5+3))=0,"",MAX(1,MIN(5,SUMIFS(Måned!$H$5:$H$2000,Måned!$A$5:$A$2000,$A66,Måned!$C$5:$C$2000,MONTH(AI$5+3))+SUMPRODUCT((Vinduer!$A$5:$A$300=$A66)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6" s="19">
        <f>IF($A66="","",IF(COUNTIFS(Måned!$A$5:$A$2000,$A66,Måned!$C$5:$C$2000,MONTH(AJ$5+3))=0,"",MAX(1,MIN(5,SUMIFS(Måned!$H$5:$H$2000,Måned!$A$5:$A$2000,$A66,Måned!$C$5:$C$2000,MONTH(AJ$5+3))+SUMPRODUCT((Vinduer!$A$5:$A$300=$A66)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6" s="19">
        <f>IF($A66="","",IF(COUNTIFS(Måned!$A$5:$A$2000,$A66,Måned!$C$5:$C$2000,MONTH(AK$5+3))=0,"",MAX(1,MIN(5,SUMIFS(Måned!$H$5:$H$2000,Måned!$A$5:$A$2000,$A66,Måned!$C$5:$C$2000,MONTH(AK$5+3))+SUMPRODUCT((Vinduer!$A$5:$A$300=$A66)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6" s="19">
        <f>IF($A66="","",IF(COUNTIFS(Måned!$A$5:$A$2000,$A66,Måned!$C$5:$C$2000,MONTH(AL$5+3))=0,"",MAX(1,MIN(5,SUMIFS(Måned!$H$5:$H$2000,Måned!$A$5:$A$2000,$A66,Måned!$C$5:$C$2000,MONTH(AL$5+3))+SUMPRODUCT((Vinduer!$A$5:$A$300=$A66)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6" s="19">
        <f>IF($A66="","",IF(COUNTIFS(Måned!$A$5:$A$2000,$A66,Måned!$C$5:$C$2000,MONTH(AM$5+3))=0,"",MAX(1,MIN(5,SUMIFS(Måned!$H$5:$H$2000,Måned!$A$5:$A$2000,$A66,Måned!$C$5:$C$2000,MONTH(AM$5+3))+SUMPRODUCT((Vinduer!$A$5:$A$300=$A66)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6" s="19">
        <f>IF($A66="","",IF(COUNTIFS(Måned!$A$5:$A$2000,$A66,Måned!$C$5:$C$2000,MONTH(AN$5+3))=0,"",MAX(1,MIN(5,SUMIFS(Måned!$H$5:$H$2000,Måned!$A$5:$A$2000,$A66,Måned!$C$5:$C$2000,MONTH(AN$5+3))+SUMPRODUCT((Vinduer!$A$5:$A$300=$A66)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6" s="19">
        <f>IF($A66="","",IF(COUNTIFS(Måned!$A$5:$A$2000,$A66,Måned!$C$5:$C$2000,MONTH(AO$5+3))=0,"",MAX(1,MIN(5,SUMIFS(Måned!$H$5:$H$2000,Måned!$A$5:$A$2000,$A66,Måned!$C$5:$C$2000,MONTH(AO$5+3))+SUMPRODUCT((Vinduer!$A$5:$A$300=$A66)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6" s="19">
        <f>IF($A66="","",IF(COUNTIFS(Måned!$A$5:$A$2000,$A66,Måned!$C$5:$C$2000,MONTH(AP$5+3))=0,"",MAX(1,MIN(5,SUMIFS(Måned!$H$5:$H$2000,Måned!$A$5:$A$2000,$A66,Måned!$C$5:$C$2000,MONTH(AP$5+3))+SUMPRODUCT((Vinduer!$A$5:$A$300=$A66)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6" s="19">
        <f>IF($A66="","",IF(COUNTIFS(Måned!$A$5:$A$2000,$A66,Måned!$C$5:$C$2000,MONTH(AQ$5+3))=0,"",MAX(1,MIN(5,SUMIFS(Måned!$H$5:$H$2000,Måned!$A$5:$A$2000,$A66,Måned!$C$5:$C$2000,MONTH(AQ$5+3))+SUMPRODUCT((Vinduer!$A$5:$A$300=$A66)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6" s="19">
        <f>IF($A66="","",IF(COUNTIFS(Måned!$A$5:$A$2000,$A66,Måned!$C$5:$C$2000,MONTH(AR$5+3))=0,"",MAX(1,MIN(5,SUMIFS(Måned!$H$5:$H$2000,Måned!$A$5:$A$2000,$A66,Måned!$C$5:$C$2000,MONTH(AR$5+3))+SUMPRODUCT((Vinduer!$A$5:$A$300=$A66)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6" s="19">
        <f>IF($A66="","",IF(COUNTIFS(Måned!$A$5:$A$2000,$A66,Måned!$C$5:$C$2000,MONTH(AS$5+3))=0,"",MAX(1,MIN(5,SUMIFS(Måned!$H$5:$H$2000,Måned!$A$5:$A$2000,$A66,Måned!$C$5:$C$2000,MONTH(AS$5+3))+SUMPRODUCT((Vinduer!$A$5:$A$300=$A66)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6" s="19">
        <f>IF($A66="","",IF(COUNTIFS(Måned!$A$5:$A$2000,$A66,Måned!$C$5:$C$2000,MONTH(AT$5+3))=0,"",MAX(1,MIN(5,SUMIFS(Måned!$H$5:$H$2000,Måned!$A$5:$A$2000,$A66,Måned!$C$5:$C$2000,MONTH(AT$5+3))+SUMPRODUCT((Vinduer!$A$5:$A$300=$A66)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6" s="19">
        <f>IF($A66="","",IF(COUNTIFS(Måned!$A$5:$A$2000,$A66,Måned!$C$5:$C$2000,MONTH(AU$5+3))=0,"",MAX(1,MIN(5,SUMIFS(Måned!$H$5:$H$2000,Måned!$A$5:$A$2000,$A66,Måned!$C$5:$C$2000,MONTH(AU$5+3))+SUMPRODUCT((Vinduer!$A$5:$A$300=$A66)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6" s="19">
        <f>IF($A66="","",IF(COUNTIFS(Måned!$A$5:$A$2000,$A66,Måned!$C$5:$C$2000,MONTH(AV$5+3))=0,"",MAX(1,MIN(5,SUMIFS(Måned!$H$5:$H$2000,Måned!$A$5:$A$2000,$A66,Måned!$C$5:$C$2000,MONTH(AV$5+3))+SUMPRODUCT((Vinduer!$A$5:$A$300=$A66)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6" s="19">
        <f>IF($A66="","",IF(COUNTIFS(Måned!$A$5:$A$2000,$A66,Måned!$C$5:$C$2000,MONTH(AW$5+3))=0,"",MAX(1,MIN(5,SUMIFS(Måned!$H$5:$H$2000,Måned!$A$5:$A$2000,$A66,Måned!$C$5:$C$2000,MONTH(AW$5+3))+SUMPRODUCT((Vinduer!$A$5:$A$300=$A66)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6" s="19">
        <f>IF($A66="","",IF(COUNTIFS(Måned!$A$5:$A$2000,$A66,Måned!$C$5:$C$2000,MONTH(AX$5+3))=0,"",MAX(1,MIN(5,SUMIFS(Måned!$H$5:$H$2000,Måned!$A$5:$A$2000,$A66,Måned!$C$5:$C$2000,MONTH(AX$5+3))+SUMPRODUCT((Vinduer!$A$5:$A$300=$A66)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6" s="19">
        <f>IF($A66="","",IF(COUNTIFS(Måned!$A$5:$A$2000,$A66,Måned!$C$5:$C$2000,MONTH(AY$5+3))=0,"",MAX(1,MIN(5,SUMIFS(Måned!$H$5:$H$2000,Måned!$A$5:$A$2000,$A66,Måned!$C$5:$C$2000,MONTH(AY$5+3))+SUMPRODUCT((Vinduer!$A$5:$A$300=$A66)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6" s="19">
        <f>IF($A66="","",IF(COUNTIFS(Måned!$A$5:$A$2000,$A66,Måned!$C$5:$C$2000,MONTH(AZ$5+3))=0,"",MAX(1,MIN(5,SUMIFS(Måned!$H$5:$H$2000,Måned!$A$5:$A$2000,$A66,Måned!$C$5:$C$2000,MONTH(AZ$5+3))+SUMPRODUCT((Vinduer!$A$5:$A$300=$A66)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6" s="19">
        <f>IF($A66="","",IF(COUNTIFS(Måned!$A$5:$A$2000,$A66,Måned!$C$5:$C$2000,MONTH(BA$5+3))=0,"",MAX(1,MIN(5,SUMIFS(Måned!$H$5:$H$2000,Måned!$A$5:$A$2000,$A66,Måned!$C$5:$C$2000,MONTH(BA$5+3))+SUMPRODUCT((Vinduer!$A$5:$A$300=$A66)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6" s="19">
        <f>IF($A66="","",IF(COUNTIFS(Måned!$A$5:$A$2000,$A66,Måned!$C$5:$C$2000,MONTH(BB$5+3))=0,"",MAX(1,MIN(5,SUMIFS(Måned!$H$5:$H$2000,Måned!$A$5:$A$2000,$A66,Måned!$C$5:$C$2000,MONTH(BB$5+3))+SUMPRODUCT((Vinduer!$A$5:$A$300=$A66)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6" s="19">
        <f>IF($A66="","",IF(COUNTIFS(Måned!$A$5:$A$2000,$A66,Måned!$C$5:$C$2000,MONTH(BC$5+3))=0,"",MAX(1,MIN(5,SUMIFS(Måned!$H$5:$H$2000,Måned!$A$5:$A$2000,$A66,Måned!$C$5:$C$2000,MONTH(BC$5+3))+SUMPRODUCT((Vinduer!$A$5:$A$300=$A66)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6" s="19">
        <f>IF($A66="","",IF(COUNTIFS(Måned!$A$5:$A$2000,$A66,Måned!$C$5:$C$2000,MONTH(BD$5+3))=0,"",MAX(1,MIN(5,SUMIFS(Måned!$H$5:$H$2000,Måned!$A$5:$A$2000,$A66,Måned!$C$5:$C$2000,MONTH(BD$5+3))+SUMPRODUCT((Vinduer!$A$5:$A$300=$A66)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6" s="19">
        <f>IF($A66="","",IF(COUNTIFS(Måned!$A$5:$A$2000,$A66,Måned!$C$5:$C$2000,MONTH(BE$5+3))=0,"",MAX(1,MIN(5,SUMIFS(Måned!$H$5:$H$2000,Måned!$A$5:$A$2000,$A66,Måned!$C$5:$C$2000,MONTH(BE$5+3))+SUMPRODUCT((Vinduer!$A$5:$A$300=$A66)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7">
      <c r="A67" s="5">
        <f>IF(Destinasjoner!A63="","",Destinasjoner!A63)</f>
        <v/>
      </c>
      <c r="B67" s="5">
        <f>IF(A67="","",Destinasjoner!E63)</f>
        <v/>
      </c>
      <c r="C67" s="5">
        <f>IF(A67="","",Destinasjoner!B63)</f>
        <v/>
      </c>
      <c r="D67" s="17">
        <f>IFERROR(SUMIFS(F67:BE67,$F$7:$BE$7,"x")/COUNTIFS($F$7:$BE$7,"x",F67:BE67,"&gt;0"),"")</f>
        <v/>
      </c>
      <c r="E67" s="18">
        <f>IF(D67="","",_xlfn.MINIFS(F67:BE67,$F$7:$BE$7,"x",F67:BE67,"&gt;0"))</f>
        <v/>
      </c>
      <c r="F67" s="19">
        <f>IF($A67="","",IF(COUNTIFS(Måned!$A$5:$A$2000,$A67,Måned!$C$5:$C$2000,MONTH(F$5+3))=0,"",MAX(1,MIN(5,SUMIFS(Måned!$H$5:$H$2000,Måned!$A$5:$A$2000,$A67,Måned!$C$5:$C$2000,MONTH(F$5+3))+SUMPRODUCT((Vinduer!$A$5:$A$300=$A67)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7" s="19">
        <f>IF($A67="","",IF(COUNTIFS(Måned!$A$5:$A$2000,$A67,Måned!$C$5:$C$2000,MONTH(G$5+3))=0,"",MAX(1,MIN(5,SUMIFS(Måned!$H$5:$H$2000,Måned!$A$5:$A$2000,$A67,Måned!$C$5:$C$2000,MONTH(G$5+3))+SUMPRODUCT((Vinduer!$A$5:$A$300=$A67)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7" s="19">
        <f>IF($A67="","",IF(COUNTIFS(Måned!$A$5:$A$2000,$A67,Måned!$C$5:$C$2000,MONTH(H$5+3))=0,"",MAX(1,MIN(5,SUMIFS(Måned!$H$5:$H$2000,Måned!$A$5:$A$2000,$A67,Måned!$C$5:$C$2000,MONTH(H$5+3))+SUMPRODUCT((Vinduer!$A$5:$A$300=$A67)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7" s="19">
        <f>IF($A67="","",IF(COUNTIFS(Måned!$A$5:$A$2000,$A67,Måned!$C$5:$C$2000,MONTH(I$5+3))=0,"",MAX(1,MIN(5,SUMIFS(Måned!$H$5:$H$2000,Måned!$A$5:$A$2000,$A67,Måned!$C$5:$C$2000,MONTH(I$5+3))+SUMPRODUCT((Vinduer!$A$5:$A$300=$A67)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7" s="19">
        <f>IF($A67="","",IF(COUNTIFS(Måned!$A$5:$A$2000,$A67,Måned!$C$5:$C$2000,MONTH(J$5+3))=0,"",MAX(1,MIN(5,SUMIFS(Måned!$H$5:$H$2000,Måned!$A$5:$A$2000,$A67,Måned!$C$5:$C$2000,MONTH(J$5+3))+SUMPRODUCT((Vinduer!$A$5:$A$300=$A67)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7" s="19">
        <f>IF($A67="","",IF(COUNTIFS(Måned!$A$5:$A$2000,$A67,Måned!$C$5:$C$2000,MONTH(K$5+3))=0,"",MAX(1,MIN(5,SUMIFS(Måned!$H$5:$H$2000,Måned!$A$5:$A$2000,$A67,Måned!$C$5:$C$2000,MONTH(K$5+3))+SUMPRODUCT((Vinduer!$A$5:$A$300=$A67)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7" s="19">
        <f>IF($A67="","",IF(COUNTIFS(Måned!$A$5:$A$2000,$A67,Måned!$C$5:$C$2000,MONTH(L$5+3))=0,"",MAX(1,MIN(5,SUMIFS(Måned!$H$5:$H$2000,Måned!$A$5:$A$2000,$A67,Måned!$C$5:$C$2000,MONTH(L$5+3))+SUMPRODUCT((Vinduer!$A$5:$A$300=$A67)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7" s="19">
        <f>IF($A67="","",IF(COUNTIFS(Måned!$A$5:$A$2000,$A67,Måned!$C$5:$C$2000,MONTH(M$5+3))=0,"",MAX(1,MIN(5,SUMIFS(Måned!$H$5:$H$2000,Måned!$A$5:$A$2000,$A67,Måned!$C$5:$C$2000,MONTH(M$5+3))+SUMPRODUCT((Vinduer!$A$5:$A$300=$A67)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7" s="19">
        <f>IF($A67="","",IF(COUNTIFS(Måned!$A$5:$A$2000,$A67,Måned!$C$5:$C$2000,MONTH(N$5+3))=0,"",MAX(1,MIN(5,SUMIFS(Måned!$H$5:$H$2000,Måned!$A$5:$A$2000,$A67,Måned!$C$5:$C$2000,MONTH(N$5+3))+SUMPRODUCT((Vinduer!$A$5:$A$300=$A67)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7" s="19">
        <f>IF($A67="","",IF(COUNTIFS(Måned!$A$5:$A$2000,$A67,Måned!$C$5:$C$2000,MONTH(O$5+3))=0,"",MAX(1,MIN(5,SUMIFS(Måned!$H$5:$H$2000,Måned!$A$5:$A$2000,$A67,Måned!$C$5:$C$2000,MONTH(O$5+3))+SUMPRODUCT((Vinduer!$A$5:$A$300=$A67)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7" s="19">
        <f>IF($A67="","",IF(COUNTIFS(Måned!$A$5:$A$2000,$A67,Måned!$C$5:$C$2000,MONTH(P$5+3))=0,"",MAX(1,MIN(5,SUMIFS(Måned!$H$5:$H$2000,Måned!$A$5:$A$2000,$A67,Måned!$C$5:$C$2000,MONTH(P$5+3))+SUMPRODUCT((Vinduer!$A$5:$A$300=$A67)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7" s="19">
        <f>IF($A67="","",IF(COUNTIFS(Måned!$A$5:$A$2000,$A67,Måned!$C$5:$C$2000,MONTH(Q$5+3))=0,"",MAX(1,MIN(5,SUMIFS(Måned!$H$5:$H$2000,Måned!$A$5:$A$2000,$A67,Måned!$C$5:$C$2000,MONTH(Q$5+3))+SUMPRODUCT((Vinduer!$A$5:$A$300=$A67)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7" s="19">
        <f>IF($A67="","",IF(COUNTIFS(Måned!$A$5:$A$2000,$A67,Måned!$C$5:$C$2000,MONTH(R$5+3))=0,"",MAX(1,MIN(5,SUMIFS(Måned!$H$5:$H$2000,Måned!$A$5:$A$2000,$A67,Måned!$C$5:$C$2000,MONTH(R$5+3))+SUMPRODUCT((Vinduer!$A$5:$A$300=$A67)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7" s="19">
        <f>IF($A67="","",IF(COUNTIFS(Måned!$A$5:$A$2000,$A67,Måned!$C$5:$C$2000,MONTH(S$5+3))=0,"",MAX(1,MIN(5,SUMIFS(Måned!$H$5:$H$2000,Måned!$A$5:$A$2000,$A67,Måned!$C$5:$C$2000,MONTH(S$5+3))+SUMPRODUCT((Vinduer!$A$5:$A$300=$A67)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7" s="19">
        <f>IF($A67="","",IF(COUNTIFS(Måned!$A$5:$A$2000,$A67,Måned!$C$5:$C$2000,MONTH(T$5+3))=0,"",MAX(1,MIN(5,SUMIFS(Måned!$H$5:$H$2000,Måned!$A$5:$A$2000,$A67,Måned!$C$5:$C$2000,MONTH(T$5+3))+SUMPRODUCT((Vinduer!$A$5:$A$300=$A67)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7" s="19">
        <f>IF($A67="","",IF(COUNTIFS(Måned!$A$5:$A$2000,$A67,Måned!$C$5:$C$2000,MONTH(U$5+3))=0,"",MAX(1,MIN(5,SUMIFS(Måned!$H$5:$H$2000,Måned!$A$5:$A$2000,$A67,Måned!$C$5:$C$2000,MONTH(U$5+3))+SUMPRODUCT((Vinduer!$A$5:$A$300=$A67)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7" s="19">
        <f>IF($A67="","",IF(COUNTIFS(Måned!$A$5:$A$2000,$A67,Måned!$C$5:$C$2000,MONTH(V$5+3))=0,"",MAX(1,MIN(5,SUMIFS(Måned!$H$5:$H$2000,Måned!$A$5:$A$2000,$A67,Måned!$C$5:$C$2000,MONTH(V$5+3))+SUMPRODUCT((Vinduer!$A$5:$A$300=$A67)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7" s="19">
        <f>IF($A67="","",IF(COUNTIFS(Måned!$A$5:$A$2000,$A67,Måned!$C$5:$C$2000,MONTH(W$5+3))=0,"",MAX(1,MIN(5,SUMIFS(Måned!$H$5:$H$2000,Måned!$A$5:$A$2000,$A67,Måned!$C$5:$C$2000,MONTH(W$5+3))+SUMPRODUCT((Vinduer!$A$5:$A$300=$A67)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7" s="19">
        <f>IF($A67="","",IF(COUNTIFS(Måned!$A$5:$A$2000,$A67,Måned!$C$5:$C$2000,MONTH(X$5+3))=0,"",MAX(1,MIN(5,SUMIFS(Måned!$H$5:$H$2000,Måned!$A$5:$A$2000,$A67,Måned!$C$5:$C$2000,MONTH(X$5+3))+SUMPRODUCT((Vinduer!$A$5:$A$300=$A67)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7" s="19">
        <f>IF($A67="","",IF(COUNTIFS(Måned!$A$5:$A$2000,$A67,Måned!$C$5:$C$2000,MONTH(Y$5+3))=0,"",MAX(1,MIN(5,SUMIFS(Måned!$H$5:$H$2000,Måned!$A$5:$A$2000,$A67,Måned!$C$5:$C$2000,MONTH(Y$5+3))+SUMPRODUCT((Vinduer!$A$5:$A$300=$A67)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7" s="19">
        <f>IF($A67="","",IF(COUNTIFS(Måned!$A$5:$A$2000,$A67,Måned!$C$5:$C$2000,MONTH(Z$5+3))=0,"",MAX(1,MIN(5,SUMIFS(Måned!$H$5:$H$2000,Måned!$A$5:$A$2000,$A67,Måned!$C$5:$C$2000,MONTH(Z$5+3))+SUMPRODUCT((Vinduer!$A$5:$A$300=$A67)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7" s="19">
        <f>IF($A67="","",IF(COUNTIFS(Måned!$A$5:$A$2000,$A67,Måned!$C$5:$C$2000,MONTH(AA$5+3))=0,"",MAX(1,MIN(5,SUMIFS(Måned!$H$5:$H$2000,Måned!$A$5:$A$2000,$A67,Måned!$C$5:$C$2000,MONTH(AA$5+3))+SUMPRODUCT((Vinduer!$A$5:$A$300=$A67)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7" s="19">
        <f>IF($A67="","",IF(COUNTIFS(Måned!$A$5:$A$2000,$A67,Måned!$C$5:$C$2000,MONTH(AB$5+3))=0,"",MAX(1,MIN(5,SUMIFS(Måned!$H$5:$H$2000,Måned!$A$5:$A$2000,$A67,Måned!$C$5:$C$2000,MONTH(AB$5+3))+SUMPRODUCT((Vinduer!$A$5:$A$300=$A67)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7" s="19">
        <f>IF($A67="","",IF(COUNTIFS(Måned!$A$5:$A$2000,$A67,Måned!$C$5:$C$2000,MONTH(AC$5+3))=0,"",MAX(1,MIN(5,SUMIFS(Måned!$H$5:$H$2000,Måned!$A$5:$A$2000,$A67,Måned!$C$5:$C$2000,MONTH(AC$5+3))+SUMPRODUCT((Vinduer!$A$5:$A$300=$A67)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7" s="19">
        <f>IF($A67="","",IF(COUNTIFS(Måned!$A$5:$A$2000,$A67,Måned!$C$5:$C$2000,MONTH(AD$5+3))=0,"",MAX(1,MIN(5,SUMIFS(Måned!$H$5:$H$2000,Måned!$A$5:$A$2000,$A67,Måned!$C$5:$C$2000,MONTH(AD$5+3))+SUMPRODUCT((Vinduer!$A$5:$A$300=$A67)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7" s="19">
        <f>IF($A67="","",IF(COUNTIFS(Måned!$A$5:$A$2000,$A67,Måned!$C$5:$C$2000,MONTH(AE$5+3))=0,"",MAX(1,MIN(5,SUMIFS(Måned!$H$5:$H$2000,Måned!$A$5:$A$2000,$A67,Måned!$C$5:$C$2000,MONTH(AE$5+3))+SUMPRODUCT((Vinduer!$A$5:$A$300=$A67)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7" s="19">
        <f>IF($A67="","",IF(COUNTIFS(Måned!$A$5:$A$2000,$A67,Måned!$C$5:$C$2000,MONTH(AF$5+3))=0,"",MAX(1,MIN(5,SUMIFS(Måned!$H$5:$H$2000,Måned!$A$5:$A$2000,$A67,Måned!$C$5:$C$2000,MONTH(AF$5+3))+SUMPRODUCT((Vinduer!$A$5:$A$300=$A67)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7" s="19">
        <f>IF($A67="","",IF(COUNTIFS(Måned!$A$5:$A$2000,$A67,Måned!$C$5:$C$2000,MONTH(AG$5+3))=0,"",MAX(1,MIN(5,SUMIFS(Måned!$H$5:$H$2000,Måned!$A$5:$A$2000,$A67,Måned!$C$5:$C$2000,MONTH(AG$5+3))+SUMPRODUCT((Vinduer!$A$5:$A$300=$A67)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7" s="19">
        <f>IF($A67="","",IF(COUNTIFS(Måned!$A$5:$A$2000,$A67,Måned!$C$5:$C$2000,MONTH(AH$5+3))=0,"",MAX(1,MIN(5,SUMIFS(Måned!$H$5:$H$2000,Måned!$A$5:$A$2000,$A67,Måned!$C$5:$C$2000,MONTH(AH$5+3))+SUMPRODUCT((Vinduer!$A$5:$A$300=$A67)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7" s="19">
        <f>IF($A67="","",IF(COUNTIFS(Måned!$A$5:$A$2000,$A67,Måned!$C$5:$C$2000,MONTH(AI$5+3))=0,"",MAX(1,MIN(5,SUMIFS(Måned!$H$5:$H$2000,Måned!$A$5:$A$2000,$A67,Måned!$C$5:$C$2000,MONTH(AI$5+3))+SUMPRODUCT((Vinduer!$A$5:$A$300=$A67)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7" s="19">
        <f>IF($A67="","",IF(COUNTIFS(Måned!$A$5:$A$2000,$A67,Måned!$C$5:$C$2000,MONTH(AJ$5+3))=0,"",MAX(1,MIN(5,SUMIFS(Måned!$H$5:$H$2000,Måned!$A$5:$A$2000,$A67,Måned!$C$5:$C$2000,MONTH(AJ$5+3))+SUMPRODUCT((Vinduer!$A$5:$A$300=$A67)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7" s="19">
        <f>IF($A67="","",IF(COUNTIFS(Måned!$A$5:$A$2000,$A67,Måned!$C$5:$C$2000,MONTH(AK$5+3))=0,"",MAX(1,MIN(5,SUMIFS(Måned!$H$5:$H$2000,Måned!$A$5:$A$2000,$A67,Måned!$C$5:$C$2000,MONTH(AK$5+3))+SUMPRODUCT((Vinduer!$A$5:$A$300=$A67)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7" s="19">
        <f>IF($A67="","",IF(COUNTIFS(Måned!$A$5:$A$2000,$A67,Måned!$C$5:$C$2000,MONTH(AL$5+3))=0,"",MAX(1,MIN(5,SUMIFS(Måned!$H$5:$H$2000,Måned!$A$5:$A$2000,$A67,Måned!$C$5:$C$2000,MONTH(AL$5+3))+SUMPRODUCT((Vinduer!$A$5:$A$300=$A67)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7" s="19">
        <f>IF($A67="","",IF(COUNTIFS(Måned!$A$5:$A$2000,$A67,Måned!$C$5:$C$2000,MONTH(AM$5+3))=0,"",MAX(1,MIN(5,SUMIFS(Måned!$H$5:$H$2000,Måned!$A$5:$A$2000,$A67,Måned!$C$5:$C$2000,MONTH(AM$5+3))+SUMPRODUCT((Vinduer!$A$5:$A$300=$A67)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7" s="19">
        <f>IF($A67="","",IF(COUNTIFS(Måned!$A$5:$A$2000,$A67,Måned!$C$5:$C$2000,MONTH(AN$5+3))=0,"",MAX(1,MIN(5,SUMIFS(Måned!$H$5:$H$2000,Måned!$A$5:$A$2000,$A67,Måned!$C$5:$C$2000,MONTH(AN$5+3))+SUMPRODUCT((Vinduer!$A$5:$A$300=$A67)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7" s="19">
        <f>IF($A67="","",IF(COUNTIFS(Måned!$A$5:$A$2000,$A67,Måned!$C$5:$C$2000,MONTH(AO$5+3))=0,"",MAX(1,MIN(5,SUMIFS(Måned!$H$5:$H$2000,Måned!$A$5:$A$2000,$A67,Måned!$C$5:$C$2000,MONTH(AO$5+3))+SUMPRODUCT((Vinduer!$A$5:$A$300=$A67)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7" s="19">
        <f>IF($A67="","",IF(COUNTIFS(Måned!$A$5:$A$2000,$A67,Måned!$C$5:$C$2000,MONTH(AP$5+3))=0,"",MAX(1,MIN(5,SUMIFS(Måned!$H$5:$H$2000,Måned!$A$5:$A$2000,$A67,Måned!$C$5:$C$2000,MONTH(AP$5+3))+SUMPRODUCT((Vinduer!$A$5:$A$300=$A67)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7" s="19">
        <f>IF($A67="","",IF(COUNTIFS(Måned!$A$5:$A$2000,$A67,Måned!$C$5:$C$2000,MONTH(AQ$5+3))=0,"",MAX(1,MIN(5,SUMIFS(Måned!$H$5:$H$2000,Måned!$A$5:$A$2000,$A67,Måned!$C$5:$C$2000,MONTH(AQ$5+3))+SUMPRODUCT((Vinduer!$A$5:$A$300=$A67)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7" s="19">
        <f>IF($A67="","",IF(COUNTIFS(Måned!$A$5:$A$2000,$A67,Måned!$C$5:$C$2000,MONTH(AR$5+3))=0,"",MAX(1,MIN(5,SUMIFS(Måned!$H$5:$H$2000,Måned!$A$5:$A$2000,$A67,Måned!$C$5:$C$2000,MONTH(AR$5+3))+SUMPRODUCT((Vinduer!$A$5:$A$300=$A67)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7" s="19">
        <f>IF($A67="","",IF(COUNTIFS(Måned!$A$5:$A$2000,$A67,Måned!$C$5:$C$2000,MONTH(AS$5+3))=0,"",MAX(1,MIN(5,SUMIFS(Måned!$H$5:$H$2000,Måned!$A$5:$A$2000,$A67,Måned!$C$5:$C$2000,MONTH(AS$5+3))+SUMPRODUCT((Vinduer!$A$5:$A$300=$A67)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7" s="19">
        <f>IF($A67="","",IF(COUNTIFS(Måned!$A$5:$A$2000,$A67,Måned!$C$5:$C$2000,MONTH(AT$5+3))=0,"",MAX(1,MIN(5,SUMIFS(Måned!$H$5:$H$2000,Måned!$A$5:$A$2000,$A67,Måned!$C$5:$C$2000,MONTH(AT$5+3))+SUMPRODUCT((Vinduer!$A$5:$A$300=$A67)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7" s="19">
        <f>IF($A67="","",IF(COUNTIFS(Måned!$A$5:$A$2000,$A67,Måned!$C$5:$C$2000,MONTH(AU$5+3))=0,"",MAX(1,MIN(5,SUMIFS(Måned!$H$5:$H$2000,Måned!$A$5:$A$2000,$A67,Måned!$C$5:$C$2000,MONTH(AU$5+3))+SUMPRODUCT((Vinduer!$A$5:$A$300=$A67)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7" s="19">
        <f>IF($A67="","",IF(COUNTIFS(Måned!$A$5:$A$2000,$A67,Måned!$C$5:$C$2000,MONTH(AV$5+3))=0,"",MAX(1,MIN(5,SUMIFS(Måned!$H$5:$H$2000,Måned!$A$5:$A$2000,$A67,Måned!$C$5:$C$2000,MONTH(AV$5+3))+SUMPRODUCT((Vinduer!$A$5:$A$300=$A67)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7" s="19">
        <f>IF($A67="","",IF(COUNTIFS(Måned!$A$5:$A$2000,$A67,Måned!$C$5:$C$2000,MONTH(AW$5+3))=0,"",MAX(1,MIN(5,SUMIFS(Måned!$H$5:$H$2000,Måned!$A$5:$A$2000,$A67,Måned!$C$5:$C$2000,MONTH(AW$5+3))+SUMPRODUCT((Vinduer!$A$5:$A$300=$A67)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7" s="19">
        <f>IF($A67="","",IF(COUNTIFS(Måned!$A$5:$A$2000,$A67,Måned!$C$5:$C$2000,MONTH(AX$5+3))=0,"",MAX(1,MIN(5,SUMIFS(Måned!$H$5:$H$2000,Måned!$A$5:$A$2000,$A67,Måned!$C$5:$C$2000,MONTH(AX$5+3))+SUMPRODUCT((Vinduer!$A$5:$A$300=$A67)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7" s="19">
        <f>IF($A67="","",IF(COUNTIFS(Måned!$A$5:$A$2000,$A67,Måned!$C$5:$C$2000,MONTH(AY$5+3))=0,"",MAX(1,MIN(5,SUMIFS(Måned!$H$5:$H$2000,Måned!$A$5:$A$2000,$A67,Måned!$C$5:$C$2000,MONTH(AY$5+3))+SUMPRODUCT((Vinduer!$A$5:$A$300=$A67)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7" s="19">
        <f>IF($A67="","",IF(COUNTIFS(Måned!$A$5:$A$2000,$A67,Måned!$C$5:$C$2000,MONTH(AZ$5+3))=0,"",MAX(1,MIN(5,SUMIFS(Måned!$H$5:$H$2000,Måned!$A$5:$A$2000,$A67,Måned!$C$5:$C$2000,MONTH(AZ$5+3))+SUMPRODUCT((Vinduer!$A$5:$A$300=$A67)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7" s="19">
        <f>IF($A67="","",IF(COUNTIFS(Måned!$A$5:$A$2000,$A67,Måned!$C$5:$C$2000,MONTH(BA$5+3))=0,"",MAX(1,MIN(5,SUMIFS(Måned!$H$5:$H$2000,Måned!$A$5:$A$2000,$A67,Måned!$C$5:$C$2000,MONTH(BA$5+3))+SUMPRODUCT((Vinduer!$A$5:$A$300=$A67)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7" s="19">
        <f>IF($A67="","",IF(COUNTIFS(Måned!$A$5:$A$2000,$A67,Måned!$C$5:$C$2000,MONTH(BB$5+3))=0,"",MAX(1,MIN(5,SUMIFS(Måned!$H$5:$H$2000,Måned!$A$5:$A$2000,$A67,Måned!$C$5:$C$2000,MONTH(BB$5+3))+SUMPRODUCT((Vinduer!$A$5:$A$300=$A67)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7" s="19">
        <f>IF($A67="","",IF(COUNTIFS(Måned!$A$5:$A$2000,$A67,Måned!$C$5:$C$2000,MONTH(BC$5+3))=0,"",MAX(1,MIN(5,SUMIFS(Måned!$H$5:$H$2000,Måned!$A$5:$A$2000,$A67,Måned!$C$5:$C$2000,MONTH(BC$5+3))+SUMPRODUCT((Vinduer!$A$5:$A$300=$A67)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7" s="19">
        <f>IF($A67="","",IF(COUNTIFS(Måned!$A$5:$A$2000,$A67,Måned!$C$5:$C$2000,MONTH(BD$5+3))=0,"",MAX(1,MIN(5,SUMIFS(Måned!$H$5:$H$2000,Måned!$A$5:$A$2000,$A67,Måned!$C$5:$C$2000,MONTH(BD$5+3))+SUMPRODUCT((Vinduer!$A$5:$A$300=$A67)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7" s="19">
        <f>IF($A67="","",IF(COUNTIFS(Måned!$A$5:$A$2000,$A67,Måned!$C$5:$C$2000,MONTH(BE$5+3))=0,"",MAX(1,MIN(5,SUMIFS(Måned!$H$5:$H$2000,Måned!$A$5:$A$2000,$A67,Måned!$C$5:$C$2000,MONTH(BE$5+3))+SUMPRODUCT((Vinduer!$A$5:$A$300=$A67)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  <row r="68">
      <c r="A68" s="5">
        <f>IF(Destinasjoner!A64="","",Destinasjoner!A64)</f>
        <v/>
      </c>
      <c r="B68" s="5">
        <f>IF(A68="","",Destinasjoner!E64)</f>
        <v/>
      </c>
      <c r="C68" s="5">
        <f>IF(A68="","",Destinasjoner!B64)</f>
        <v/>
      </c>
      <c r="D68" s="17">
        <f>IFERROR(SUMIFS(F68:BE68,$F$7:$BE$7,"x")/COUNTIFS($F$7:$BE$7,"x",F68:BE68,"&gt;0"),"")</f>
        <v/>
      </c>
      <c r="E68" s="18">
        <f>IF(D68="","",_xlfn.MINIFS(F68:BE68,$F$7:$BE$7,"x",F68:BE68,"&gt;0"))</f>
        <v/>
      </c>
      <c r="F68" s="19">
        <f>IF($A68="","",IF(COUNTIFS(Måned!$A$5:$A$2000,$A68,Måned!$C$5:$C$2000,MONTH(F$5+3))=0,"",MAX(1,MIN(5,SUMIFS(Måned!$H$5:$H$2000,Måned!$A$5:$A$2000,$A68,Måned!$C$5:$C$2000,MONTH(F$5+3))+SUMPRODUCT((Vinduer!$A$5:$A$300=$A68)*Vinduer!$F$5:$F$300*(((Vinduer!$G$5:$G$300="")+(Vinduer!$G$5:$G$300=$B$2))&gt;0)*((Vinduer!$C$5:$C$300&lt;=Vinduer!$D$5:$D$300)*(F$4&gt;=Vinduer!$C$5:$C$300)*(F$4&lt;=Vinduer!$D$5:$D$300)+(Vinduer!$C$5:$C$300&gt;Vinduer!$D$5:$D$300)*(((F$4&gt;=Vinduer!$C$5:$C$300)+(F$4&lt;=Vinduer!$D$5:$D$300))&gt;0)))))))</f>
        <v/>
      </c>
      <c r="G68" s="19">
        <f>IF($A68="","",IF(COUNTIFS(Måned!$A$5:$A$2000,$A68,Måned!$C$5:$C$2000,MONTH(G$5+3))=0,"",MAX(1,MIN(5,SUMIFS(Måned!$H$5:$H$2000,Måned!$A$5:$A$2000,$A68,Måned!$C$5:$C$2000,MONTH(G$5+3))+SUMPRODUCT((Vinduer!$A$5:$A$300=$A68)*Vinduer!$F$5:$F$300*(((Vinduer!$G$5:$G$300="")+(Vinduer!$G$5:$G$300=$B$2))&gt;0)*((Vinduer!$C$5:$C$300&lt;=Vinduer!$D$5:$D$300)*(G$4&gt;=Vinduer!$C$5:$C$300)*(G$4&lt;=Vinduer!$D$5:$D$300)+(Vinduer!$C$5:$C$300&gt;Vinduer!$D$5:$D$300)*(((G$4&gt;=Vinduer!$C$5:$C$300)+(G$4&lt;=Vinduer!$D$5:$D$300))&gt;0)))))))</f>
        <v/>
      </c>
      <c r="H68" s="19">
        <f>IF($A68="","",IF(COUNTIFS(Måned!$A$5:$A$2000,$A68,Måned!$C$5:$C$2000,MONTH(H$5+3))=0,"",MAX(1,MIN(5,SUMIFS(Måned!$H$5:$H$2000,Måned!$A$5:$A$2000,$A68,Måned!$C$5:$C$2000,MONTH(H$5+3))+SUMPRODUCT((Vinduer!$A$5:$A$300=$A68)*Vinduer!$F$5:$F$300*(((Vinduer!$G$5:$G$300="")+(Vinduer!$G$5:$G$300=$B$2))&gt;0)*((Vinduer!$C$5:$C$300&lt;=Vinduer!$D$5:$D$300)*(H$4&gt;=Vinduer!$C$5:$C$300)*(H$4&lt;=Vinduer!$D$5:$D$300)+(Vinduer!$C$5:$C$300&gt;Vinduer!$D$5:$D$300)*(((H$4&gt;=Vinduer!$C$5:$C$300)+(H$4&lt;=Vinduer!$D$5:$D$300))&gt;0)))))))</f>
        <v/>
      </c>
      <c r="I68" s="19">
        <f>IF($A68="","",IF(COUNTIFS(Måned!$A$5:$A$2000,$A68,Måned!$C$5:$C$2000,MONTH(I$5+3))=0,"",MAX(1,MIN(5,SUMIFS(Måned!$H$5:$H$2000,Måned!$A$5:$A$2000,$A68,Måned!$C$5:$C$2000,MONTH(I$5+3))+SUMPRODUCT((Vinduer!$A$5:$A$300=$A68)*Vinduer!$F$5:$F$300*(((Vinduer!$G$5:$G$300="")+(Vinduer!$G$5:$G$300=$B$2))&gt;0)*((Vinduer!$C$5:$C$300&lt;=Vinduer!$D$5:$D$300)*(I$4&gt;=Vinduer!$C$5:$C$300)*(I$4&lt;=Vinduer!$D$5:$D$300)+(Vinduer!$C$5:$C$300&gt;Vinduer!$D$5:$D$300)*(((I$4&gt;=Vinduer!$C$5:$C$300)+(I$4&lt;=Vinduer!$D$5:$D$300))&gt;0)))))))</f>
        <v/>
      </c>
      <c r="J68" s="19">
        <f>IF($A68="","",IF(COUNTIFS(Måned!$A$5:$A$2000,$A68,Måned!$C$5:$C$2000,MONTH(J$5+3))=0,"",MAX(1,MIN(5,SUMIFS(Måned!$H$5:$H$2000,Måned!$A$5:$A$2000,$A68,Måned!$C$5:$C$2000,MONTH(J$5+3))+SUMPRODUCT((Vinduer!$A$5:$A$300=$A68)*Vinduer!$F$5:$F$300*(((Vinduer!$G$5:$G$300="")+(Vinduer!$G$5:$G$300=$B$2))&gt;0)*((Vinduer!$C$5:$C$300&lt;=Vinduer!$D$5:$D$300)*(J$4&gt;=Vinduer!$C$5:$C$300)*(J$4&lt;=Vinduer!$D$5:$D$300)+(Vinduer!$C$5:$C$300&gt;Vinduer!$D$5:$D$300)*(((J$4&gt;=Vinduer!$C$5:$C$300)+(J$4&lt;=Vinduer!$D$5:$D$300))&gt;0)))))))</f>
        <v/>
      </c>
      <c r="K68" s="19">
        <f>IF($A68="","",IF(COUNTIFS(Måned!$A$5:$A$2000,$A68,Måned!$C$5:$C$2000,MONTH(K$5+3))=0,"",MAX(1,MIN(5,SUMIFS(Måned!$H$5:$H$2000,Måned!$A$5:$A$2000,$A68,Måned!$C$5:$C$2000,MONTH(K$5+3))+SUMPRODUCT((Vinduer!$A$5:$A$300=$A68)*Vinduer!$F$5:$F$300*(((Vinduer!$G$5:$G$300="")+(Vinduer!$G$5:$G$300=$B$2))&gt;0)*((Vinduer!$C$5:$C$300&lt;=Vinduer!$D$5:$D$300)*(K$4&gt;=Vinduer!$C$5:$C$300)*(K$4&lt;=Vinduer!$D$5:$D$300)+(Vinduer!$C$5:$C$300&gt;Vinduer!$D$5:$D$300)*(((K$4&gt;=Vinduer!$C$5:$C$300)+(K$4&lt;=Vinduer!$D$5:$D$300))&gt;0)))))))</f>
        <v/>
      </c>
      <c r="L68" s="19">
        <f>IF($A68="","",IF(COUNTIFS(Måned!$A$5:$A$2000,$A68,Måned!$C$5:$C$2000,MONTH(L$5+3))=0,"",MAX(1,MIN(5,SUMIFS(Måned!$H$5:$H$2000,Måned!$A$5:$A$2000,$A68,Måned!$C$5:$C$2000,MONTH(L$5+3))+SUMPRODUCT((Vinduer!$A$5:$A$300=$A68)*Vinduer!$F$5:$F$300*(((Vinduer!$G$5:$G$300="")+(Vinduer!$G$5:$G$300=$B$2))&gt;0)*((Vinduer!$C$5:$C$300&lt;=Vinduer!$D$5:$D$300)*(L$4&gt;=Vinduer!$C$5:$C$300)*(L$4&lt;=Vinduer!$D$5:$D$300)+(Vinduer!$C$5:$C$300&gt;Vinduer!$D$5:$D$300)*(((L$4&gt;=Vinduer!$C$5:$C$300)+(L$4&lt;=Vinduer!$D$5:$D$300))&gt;0)))))))</f>
        <v/>
      </c>
      <c r="M68" s="19">
        <f>IF($A68="","",IF(COUNTIFS(Måned!$A$5:$A$2000,$A68,Måned!$C$5:$C$2000,MONTH(M$5+3))=0,"",MAX(1,MIN(5,SUMIFS(Måned!$H$5:$H$2000,Måned!$A$5:$A$2000,$A68,Måned!$C$5:$C$2000,MONTH(M$5+3))+SUMPRODUCT((Vinduer!$A$5:$A$300=$A68)*Vinduer!$F$5:$F$300*(((Vinduer!$G$5:$G$300="")+(Vinduer!$G$5:$G$300=$B$2))&gt;0)*((Vinduer!$C$5:$C$300&lt;=Vinduer!$D$5:$D$300)*(M$4&gt;=Vinduer!$C$5:$C$300)*(M$4&lt;=Vinduer!$D$5:$D$300)+(Vinduer!$C$5:$C$300&gt;Vinduer!$D$5:$D$300)*(((M$4&gt;=Vinduer!$C$5:$C$300)+(M$4&lt;=Vinduer!$D$5:$D$300))&gt;0)))))))</f>
        <v/>
      </c>
      <c r="N68" s="19">
        <f>IF($A68="","",IF(COUNTIFS(Måned!$A$5:$A$2000,$A68,Måned!$C$5:$C$2000,MONTH(N$5+3))=0,"",MAX(1,MIN(5,SUMIFS(Måned!$H$5:$H$2000,Måned!$A$5:$A$2000,$A68,Måned!$C$5:$C$2000,MONTH(N$5+3))+SUMPRODUCT((Vinduer!$A$5:$A$300=$A68)*Vinduer!$F$5:$F$300*(((Vinduer!$G$5:$G$300="")+(Vinduer!$G$5:$G$300=$B$2))&gt;0)*((Vinduer!$C$5:$C$300&lt;=Vinduer!$D$5:$D$300)*(N$4&gt;=Vinduer!$C$5:$C$300)*(N$4&lt;=Vinduer!$D$5:$D$300)+(Vinduer!$C$5:$C$300&gt;Vinduer!$D$5:$D$300)*(((N$4&gt;=Vinduer!$C$5:$C$300)+(N$4&lt;=Vinduer!$D$5:$D$300))&gt;0)))))))</f>
        <v/>
      </c>
      <c r="O68" s="19">
        <f>IF($A68="","",IF(COUNTIFS(Måned!$A$5:$A$2000,$A68,Måned!$C$5:$C$2000,MONTH(O$5+3))=0,"",MAX(1,MIN(5,SUMIFS(Måned!$H$5:$H$2000,Måned!$A$5:$A$2000,$A68,Måned!$C$5:$C$2000,MONTH(O$5+3))+SUMPRODUCT((Vinduer!$A$5:$A$300=$A68)*Vinduer!$F$5:$F$300*(((Vinduer!$G$5:$G$300="")+(Vinduer!$G$5:$G$300=$B$2))&gt;0)*((Vinduer!$C$5:$C$300&lt;=Vinduer!$D$5:$D$300)*(O$4&gt;=Vinduer!$C$5:$C$300)*(O$4&lt;=Vinduer!$D$5:$D$300)+(Vinduer!$C$5:$C$300&gt;Vinduer!$D$5:$D$300)*(((O$4&gt;=Vinduer!$C$5:$C$300)+(O$4&lt;=Vinduer!$D$5:$D$300))&gt;0)))))))</f>
        <v/>
      </c>
      <c r="P68" s="19">
        <f>IF($A68="","",IF(COUNTIFS(Måned!$A$5:$A$2000,$A68,Måned!$C$5:$C$2000,MONTH(P$5+3))=0,"",MAX(1,MIN(5,SUMIFS(Måned!$H$5:$H$2000,Måned!$A$5:$A$2000,$A68,Måned!$C$5:$C$2000,MONTH(P$5+3))+SUMPRODUCT((Vinduer!$A$5:$A$300=$A68)*Vinduer!$F$5:$F$300*(((Vinduer!$G$5:$G$300="")+(Vinduer!$G$5:$G$300=$B$2))&gt;0)*((Vinduer!$C$5:$C$300&lt;=Vinduer!$D$5:$D$300)*(P$4&gt;=Vinduer!$C$5:$C$300)*(P$4&lt;=Vinduer!$D$5:$D$300)+(Vinduer!$C$5:$C$300&gt;Vinduer!$D$5:$D$300)*(((P$4&gt;=Vinduer!$C$5:$C$300)+(P$4&lt;=Vinduer!$D$5:$D$300))&gt;0)))))))</f>
        <v/>
      </c>
      <c r="Q68" s="19">
        <f>IF($A68="","",IF(COUNTIFS(Måned!$A$5:$A$2000,$A68,Måned!$C$5:$C$2000,MONTH(Q$5+3))=0,"",MAX(1,MIN(5,SUMIFS(Måned!$H$5:$H$2000,Måned!$A$5:$A$2000,$A68,Måned!$C$5:$C$2000,MONTH(Q$5+3))+SUMPRODUCT((Vinduer!$A$5:$A$300=$A68)*Vinduer!$F$5:$F$300*(((Vinduer!$G$5:$G$300="")+(Vinduer!$G$5:$G$300=$B$2))&gt;0)*((Vinduer!$C$5:$C$300&lt;=Vinduer!$D$5:$D$300)*(Q$4&gt;=Vinduer!$C$5:$C$300)*(Q$4&lt;=Vinduer!$D$5:$D$300)+(Vinduer!$C$5:$C$300&gt;Vinduer!$D$5:$D$300)*(((Q$4&gt;=Vinduer!$C$5:$C$300)+(Q$4&lt;=Vinduer!$D$5:$D$300))&gt;0)))))))</f>
        <v/>
      </c>
      <c r="R68" s="19">
        <f>IF($A68="","",IF(COUNTIFS(Måned!$A$5:$A$2000,$A68,Måned!$C$5:$C$2000,MONTH(R$5+3))=0,"",MAX(1,MIN(5,SUMIFS(Måned!$H$5:$H$2000,Måned!$A$5:$A$2000,$A68,Måned!$C$5:$C$2000,MONTH(R$5+3))+SUMPRODUCT((Vinduer!$A$5:$A$300=$A68)*Vinduer!$F$5:$F$300*(((Vinduer!$G$5:$G$300="")+(Vinduer!$G$5:$G$300=$B$2))&gt;0)*((Vinduer!$C$5:$C$300&lt;=Vinduer!$D$5:$D$300)*(R$4&gt;=Vinduer!$C$5:$C$300)*(R$4&lt;=Vinduer!$D$5:$D$300)+(Vinduer!$C$5:$C$300&gt;Vinduer!$D$5:$D$300)*(((R$4&gt;=Vinduer!$C$5:$C$300)+(R$4&lt;=Vinduer!$D$5:$D$300))&gt;0)))))))</f>
        <v/>
      </c>
      <c r="S68" s="19">
        <f>IF($A68="","",IF(COUNTIFS(Måned!$A$5:$A$2000,$A68,Måned!$C$5:$C$2000,MONTH(S$5+3))=0,"",MAX(1,MIN(5,SUMIFS(Måned!$H$5:$H$2000,Måned!$A$5:$A$2000,$A68,Måned!$C$5:$C$2000,MONTH(S$5+3))+SUMPRODUCT((Vinduer!$A$5:$A$300=$A68)*Vinduer!$F$5:$F$300*(((Vinduer!$G$5:$G$300="")+(Vinduer!$G$5:$G$300=$B$2))&gt;0)*((Vinduer!$C$5:$C$300&lt;=Vinduer!$D$5:$D$300)*(S$4&gt;=Vinduer!$C$5:$C$300)*(S$4&lt;=Vinduer!$D$5:$D$300)+(Vinduer!$C$5:$C$300&gt;Vinduer!$D$5:$D$300)*(((S$4&gt;=Vinduer!$C$5:$C$300)+(S$4&lt;=Vinduer!$D$5:$D$300))&gt;0)))))))</f>
        <v/>
      </c>
      <c r="T68" s="19">
        <f>IF($A68="","",IF(COUNTIFS(Måned!$A$5:$A$2000,$A68,Måned!$C$5:$C$2000,MONTH(T$5+3))=0,"",MAX(1,MIN(5,SUMIFS(Måned!$H$5:$H$2000,Måned!$A$5:$A$2000,$A68,Måned!$C$5:$C$2000,MONTH(T$5+3))+SUMPRODUCT((Vinduer!$A$5:$A$300=$A68)*Vinduer!$F$5:$F$300*(((Vinduer!$G$5:$G$300="")+(Vinduer!$G$5:$G$300=$B$2))&gt;0)*((Vinduer!$C$5:$C$300&lt;=Vinduer!$D$5:$D$300)*(T$4&gt;=Vinduer!$C$5:$C$300)*(T$4&lt;=Vinduer!$D$5:$D$300)+(Vinduer!$C$5:$C$300&gt;Vinduer!$D$5:$D$300)*(((T$4&gt;=Vinduer!$C$5:$C$300)+(T$4&lt;=Vinduer!$D$5:$D$300))&gt;0)))))))</f>
        <v/>
      </c>
      <c r="U68" s="19">
        <f>IF($A68="","",IF(COUNTIFS(Måned!$A$5:$A$2000,$A68,Måned!$C$5:$C$2000,MONTH(U$5+3))=0,"",MAX(1,MIN(5,SUMIFS(Måned!$H$5:$H$2000,Måned!$A$5:$A$2000,$A68,Måned!$C$5:$C$2000,MONTH(U$5+3))+SUMPRODUCT((Vinduer!$A$5:$A$300=$A68)*Vinduer!$F$5:$F$300*(((Vinduer!$G$5:$G$300="")+(Vinduer!$G$5:$G$300=$B$2))&gt;0)*((Vinduer!$C$5:$C$300&lt;=Vinduer!$D$5:$D$300)*(U$4&gt;=Vinduer!$C$5:$C$300)*(U$4&lt;=Vinduer!$D$5:$D$300)+(Vinduer!$C$5:$C$300&gt;Vinduer!$D$5:$D$300)*(((U$4&gt;=Vinduer!$C$5:$C$300)+(U$4&lt;=Vinduer!$D$5:$D$300))&gt;0)))))))</f>
        <v/>
      </c>
      <c r="V68" s="19">
        <f>IF($A68="","",IF(COUNTIFS(Måned!$A$5:$A$2000,$A68,Måned!$C$5:$C$2000,MONTH(V$5+3))=0,"",MAX(1,MIN(5,SUMIFS(Måned!$H$5:$H$2000,Måned!$A$5:$A$2000,$A68,Måned!$C$5:$C$2000,MONTH(V$5+3))+SUMPRODUCT((Vinduer!$A$5:$A$300=$A68)*Vinduer!$F$5:$F$300*(((Vinduer!$G$5:$G$300="")+(Vinduer!$G$5:$G$300=$B$2))&gt;0)*((Vinduer!$C$5:$C$300&lt;=Vinduer!$D$5:$D$300)*(V$4&gt;=Vinduer!$C$5:$C$300)*(V$4&lt;=Vinduer!$D$5:$D$300)+(Vinduer!$C$5:$C$300&gt;Vinduer!$D$5:$D$300)*(((V$4&gt;=Vinduer!$C$5:$C$300)+(V$4&lt;=Vinduer!$D$5:$D$300))&gt;0)))))))</f>
        <v/>
      </c>
      <c r="W68" s="19">
        <f>IF($A68="","",IF(COUNTIFS(Måned!$A$5:$A$2000,$A68,Måned!$C$5:$C$2000,MONTH(W$5+3))=0,"",MAX(1,MIN(5,SUMIFS(Måned!$H$5:$H$2000,Måned!$A$5:$A$2000,$A68,Måned!$C$5:$C$2000,MONTH(W$5+3))+SUMPRODUCT((Vinduer!$A$5:$A$300=$A68)*Vinduer!$F$5:$F$300*(((Vinduer!$G$5:$G$300="")+(Vinduer!$G$5:$G$300=$B$2))&gt;0)*((Vinduer!$C$5:$C$300&lt;=Vinduer!$D$5:$D$300)*(W$4&gt;=Vinduer!$C$5:$C$300)*(W$4&lt;=Vinduer!$D$5:$D$300)+(Vinduer!$C$5:$C$300&gt;Vinduer!$D$5:$D$300)*(((W$4&gt;=Vinduer!$C$5:$C$300)+(W$4&lt;=Vinduer!$D$5:$D$300))&gt;0)))))))</f>
        <v/>
      </c>
      <c r="X68" s="19">
        <f>IF($A68="","",IF(COUNTIFS(Måned!$A$5:$A$2000,$A68,Måned!$C$5:$C$2000,MONTH(X$5+3))=0,"",MAX(1,MIN(5,SUMIFS(Måned!$H$5:$H$2000,Måned!$A$5:$A$2000,$A68,Måned!$C$5:$C$2000,MONTH(X$5+3))+SUMPRODUCT((Vinduer!$A$5:$A$300=$A68)*Vinduer!$F$5:$F$300*(((Vinduer!$G$5:$G$300="")+(Vinduer!$G$5:$G$300=$B$2))&gt;0)*((Vinduer!$C$5:$C$300&lt;=Vinduer!$D$5:$D$300)*(X$4&gt;=Vinduer!$C$5:$C$300)*(X$4&lt;=Vinduer!$D$5:$D$300)+(Vinduer!$C$5:$C$300&gt;Vinduer!$D$5:$D$300)*(((X$4&gt;=Vinduer!$C$5:$C$300)+(X$4&lt;=Vinduer!$D$5:$D$300))&gt;0)))))))</f>
        <v/>
      </c>
      <c r="Y68" s="19">
        <f>IF($A68="","",IF(COUNTIFS(Måned!$A$5:$A$2000,$A68,Måned!$C$5:$C$2000,MONTH(Y$5+3))=0,"",MAX(1,MIN(5,SUMIFS(Måned!$H$5:$H$2000,Måned!$A$5:$A$2000,$A68,Måned!$C$5:$C$2000,MONTH(Y$5+3))+SUMPRODUCT((Vinduer!$A$5:$A$300=$A68)*Vinduer!$F$5:$F$300*(((Vinduer!$G$5:$G$300="")+(Vinduer!$G$5:$G$300=$B$2))&gt;0)*((Vinduer!$C$5:$C$300&lt;=Vinduer!$D$5:$D$300)*(Y$4&gt;=Vinduer!$C$5:$C$300)*(Y$4&lt;=Vinduer!$D$5:$D$300)+(Vinduer!$C$5:$C$300&gt;Vinduer!$D$5:$D$300)*(((Y$4&gt;=Vinduer!$C$5:$C$300)+(Y$4&lt;=Vinduer!$D$5:$D$300))&gt;0)))))))</f>
        <v/>
      </c>
      <c r="Z68" s="19">
        <f>IF($A68="","",IF(COUNTIFS(Måned!$A$5:$A$2000,$A68,Måned!$C$5:$C$2000,MONTH(Z$5+3))=0,"",MAX(1,MIN(5,SUMIFS(Måned!$H$5:$H$2000,Måned!$A$5:$A$2000,$A68,Måned!$C$5:$C$2000,MONTH(Z$5+3))+SUMPRODUCT((Vinduer!$A$5:$A$300=$A68)*Vinduer!$F$5:$F$300*(((Vinduer!$G$5:$G$300="")+(Vinduer!$G$5:$G$300=$B$2))&gt;0)*((Vinduer!$C$5:$C$300&lt;=Vinduer!$D$5:$D$300)*(Z$4&gt;=Vinduer!$C$5:$C$300)*(Z$4&lt;=Vinduer!$D$5:$D$300)+(Vinduer!$C$5:$C$300&gt;Vinduer!$D$5:$D$300)*(((Z$4&gt;=Vinduer!$C$5:$C$300)+(Z$4&lt;=Vinduer!$D$5:$D$300))&gt;0)))))))</f>
        <v/>
      </c>
      <c r="AA68" s="19">
        <f>IF($A68="","",IF(COUNTIFS(Måned!$A$5:$A$2000,$A68,Måned!$C$5:$C$2000,MONTH(AA$5+3))=0,"",MAX(1,MIN(5,SUMIFS(Måned!$H$5:$H$2000,Måned!$A$5:$A$2000,$A68,Måned!$C$5:$C$2000,MONTH(AA$5+3))+SUMPRODUCT((Vinduer!$A$5:$A$300=$A68)*Vinduer!$F$5:$F$300*(((Vinduer!$G$5:$G$300="")+(Vinduer!$G$5:$G$300=$B$2))&gt;0)*((Vinduer!$C$5:$C$300&lt;=Vinduer!$D$5:$D$300)*(AA$4&gt;=Vinduer!$C$5:$C$300)*(AA$4&lt;=Vinduer!$D$5:$D$300)+(Vinduer!$C$5:$C$300&gt;Vinduer!$D$5:$D$300)*(((AA$4&gt;=Vinduer!$C$5:$C$300)+(AA$4&lt;=Vinduer!$D$5:$D$300))&gt;0)))))))</f>
        <v/>
      </c>
      <c r="AB68" s="19">
        <f>IF($A68="","",IF(COUNTIFS(Måned!$A$5:$A$2000,$A68,Måned!$C$5:$C$2000,MONTH(AB$5+3))=0,"",MAX(1,MIN(5,SUMIFS(Måned!$H$5:$H$2000,Måned!$A$5:$A$2000,$A68,Måned!$C$5:$C$2000,MONTH(AB$5+3))+SUMPRODUCT((Vinduer!$A$5:$A$300=$A68)*Vinduer!$F$5:$F$300*(((Vinduer!$G$5:$G$300="")+(Vinduer!$G$5:$G$300=$B$2))&gt;0)*((Vinduer!$C$5:$C$300&lt;=Vinduer!$D$5:$D$300)*(AB$4&gt;=Vinduer!$C$5:$C$300)*(AB$4&lt;=Vinduer!$D$5:$D$300)+(Vinduer!$C$5:$C$300&gt;Vinduer!$D$5:$D$300)*(((AB$4&gt;=Vinduer!$C$5:$C$300)+(AB$4&lt;=Vinduer!$D$5:$D$300))&gt;0)))))))</f>
        <v/>
      </c>
      <c r="AC68" s="19">
        <f>IF($A68="","",IF(COUNTIFS(Måned!$A$5:$A$2000,$A68,Måned!$C$5:$C$2000,MONTH(AC$5+3))=0,"",MAX(1,MIN(5,SUMIFS(Måned!$H$5:$H$2000,Måned!$A$5:$A$2000,$A68,Måned!$C$5:$C$2000,MONTH(AC$5+3))+SUMPRODUCT((Vinduer!$A$5:$A$300=$A68)*Vinduer!$F$5:$F$300*(((Vinduer!$G$5:$G$300="")+(Vinduer!$G$5:$G$300=$B$2))&gt;0)*((Vinduer!$C$5:$C$300&lt;=Vinduer!$D$5:$D$300)*(AC$4&gt;=Vinduer!$C$5:$C$300)*(AC$4&lt;=Vinduer!$D$5:$D$300)+(Vinduer!$C$5:$C$300&gt;Vinduer!$D$5:$D$300)*(((AC$4&gt;=Vinduer!$C$5:$C$300)+(AC$4&lt;=Vinduer!$D$5:$D$300))&gt;0)))))))</f>
        <v/>
      </c>
      <c r="AD68" s="19">
        <f>IF($A68="","",IF(COUNTIFS(Måned!$A$5:$A$2000,$A68,Måned!$C$5:$C$2000,MONTH(AD$5+3))=0,"",MAX(1,MIN(5,SUMIFS(Måned!$H$5:$H$2000,Måned!$A$5:$A$2000,$A68,Måned!$C$5:$C$2000,MONTH(AD$5+3))+SUMPRODUCT((Vinduer!$A$5:$A$300=$A68)*Vinduer!$F$5:$F$300*(((Vinduer!$G$5:$G$300="")+(Vinduer!$G$5:$G$300=$B$2))&gt;0)*((Vinduer!$C$5:$C$300&lt;=Vinduer!$D$5:$D$300)*(AD$4&gt;=Vinduer!$C$5:$C$300)*(AD$4&lt;=Vinduer!$D$5:$D$300)+(Vinduer!$C$5:$C$300&gt;Vinduer!$D$5:$D$300)*(((AD$4&gt;=Vinduer!$C$5:$C$300)+(AD$4&lt;=Vinduer!$D$5:$D$300))&gt;0)))))))</f>
        <v/>
      </c>
      <c r="AE68" s="19">
        <f>IF($A68="","",IF(COUNTIFS(Måned!$A$5:$A$2000,$A68,Måned!$C$5:$C$2000,MONTH(AE$5+3))=0,"",MAX(1,MIN(5,SUMIFS(Måned!$H$5:$H$2000,Måned!$A$5:$A$2000,$A68,Måned!$C$5:$C$2000,MONTH(AE$5+3))+SUMPRODUCT((Vinduer!$A$5:$A$300=$A68)*Vinduer!$F$5:$F$300*(((Vinduer!$G$5:$G$300="")+(Vinduer!$G$5:$G$300=$B$2))&gt;0)*((Vinduer!$C$5:$C$300&lt;=Vinduer!$D$5:$D$300)*(AE$4&gt;=Vinduer!$C$5:$C$300)*(AE$4&lt;=Vinduer!$D$5:$D$300)+(Vinduer!$C$5:$C$300&gt;Vinduer!$D$5:$D$300)*(((AE$4&gt;=Vinduer!$C$5:$C$300)+(AE$4&lt;=Vinduer!$D$5:$D$300))&gt;0)))))))</f>
        <v/>
      </c>
      <c r="AF68" s="19">
        <f>IF($A68="","",IF(COUNTIFS(Måned!$A$5:$A$2000,$A68,Måned!$C$5:$C$2000,MONTH(AF$5+3))=0,"",MAX(1,MIN(5,SUMIFS(Måned!$H$5:$H$2000,Måned!$A$5:$A$2000,$A68,Måned!$C$5:$C$2000,MONTH(AF$5+3))+SUMPRODUCT((Vinduer!$A$5:$A$300=$A68)*Vinduer!$F$5:$F$300*(((Vinduer!$G$5:$G$300="")+(Vinduer!$G$5:$G$300=$B$2))&gt;0)*((Vinduer!$C$5:$C$300&lt;=Vinduer!$D$5:$D$300)*(AF$4&gt;=Vinduer!$C$5:$C$300)*(AF$4&lt;=Vinduer!$D$5:$D$300)+(Vinduer!$C$5:$C$300&gt;Vinduer!$D$5:$D$300)*(((AF$4&gt;=Vinduer!$C$5:$C$300)+(AF$4&lt;=Vinduer!$D$5:$D$300))&gt;0)))))))</f>
        <v/>
      </c>
      <c r="AG68" s="19">
        <f>IF($A68="","",IF(COUNTIFS(Måned!$A$5:$A$2000,$A68,Måned!$C$5:$C$2000,MONTH(AG$5+3))=0,"",MAX(1,MIN(5,SUMIFS(Måned!$H$5:$H$2000,Måned!$A$5:$A$2000,$A68,Måned!$C$5:$C$2000,MONTH(AG$5+3))+SUMPRODUCT((Vinduer!$A$5:$A$300=$A68)*Vinduer!$F$5:$F$300*(((Vinduer!$G$5:$G$300="")+(Vinduer!$G$5:$G$300=$B$2))&gt;0)*((Vinduer!$C$5:$C$300&lt;=Vinduer!$D$5:$D$300)*(AG$4&gt;=Vinduer!$C$5:$C$300)*(AG$4&lt;=Vinduer!$D$5:$D$300)+(Vinduer!$C$5:$C$300&gt;Vinduer!$D$5:$D$300)*(((AG$4&gt;=Vinduer!$C$5:$C$300)+(AG$4&lt;=Vinduer!$D$5:$D$300))&gt;0)))))))</f>
        <v/>
      </c>
      <c r="AH68" s="19">
        <f>IF($A68="","",IF(COUNTIFS(Måned!$A$5:$A$2000,$A68,Måned!$C$5:$C$2000,MONTH(AH$5+3))=0,"",MAX(1,MIN(5,SUMIFS(Måned!$H$5:$H$2000,Måned!$A$5:$A$2000,$A68,Måned!$C$5:$C$2000,MONTH(AH$5+3))+SUMPRODUCT((Vinduer!$A$5:$A$300=$A68)*Vinduer!$F$5:$F$300*(((Vinduer!$G$5:$G$300="")+(Vinduer!$G$5:$G$300=$B$2))&gt;0)*((Vinduer!$C$5:$C$300&lt;=Vinduer!$D$5:$D$300)*(AH$4&gt;=Vinduer!$C$5:$C$300)*(AH$4&lt;=Vinduer!$D$5:$D$300)+(Vinduer!$C$5:$C$300&gt;Vinduer!$D$5:$D$300)*(((AH$4&gt;=Vinduer!$C$5:$C$300)+(AH$4&lt;=Vinduer!$D$5:$D$300))&gt;0)))))))</f>
        <v/>
      </c>
      <c r="AI68" s="19">
        <f>IF($A68="","",IF(COUNTIFS(Måned!$A$5:$A$2000,$A68,Måned!$C$5:$C$2000,MONTH(AI$5+3))=0,"",MAX(1,MIN(5,SUMIFS(Måned!$H$5:$H$2000,Måned!$A$5:$A$2000,$A68,Måned!$C$5:$C$2000,MONTH(AI$5+3))+SUMPRODUCT((Vinduer!$A$5:$A$300=$A68)*Vinduer!$F$5:$F$300*(((Vinduer!$G$5:$G$300="")+(Vinduer!$G$5:$G$300=$B$2))&gt;0)*((Vinduer!$C$5:$C$300&lt;=Vinduer!$D$5:$D$300)*(AI$4&gt;=Vinduer!$C$5:$C$300)*(AI$4&lt;=Vinduer!$D$5:$D$300)+(Vinduer!$C$5:$C$300&gt;Vinduer!$D$5:$D$300)*(((AI$4&gt;=Vinduer!$C$5:$C$300)+(AI$4&lt;=Vinduer!$D$5:$D$300))&gt;0)))))))</f>
        <v/>
      </c>
      <c r="AJ68" s="19">
        <f>IF($A68="","",IF(COUNTIFS(Måned!$A$5:$A$2000,$A68,Måned!$C$5:$C$2000,MONTH(AJ$5+3))=0,"",MAX(1,MIN(5,SUMIFS(Måned!$H$5:$H$2000,Måned!$A$5:$A$2000,$A68,Måned!$C$5:$C$2000,MONTH(AJ$5+3))+SUMPRODUCT((Vinduer!$A$5:$A$300=$A68)*Vinduer!$F$5:$F$300*(((Vinduer!$G$5:$G$300="")+(Vinduer!$G$5:$G$300=$B$2))&gt;0)*((Vinduer!$C$5:$C$300&lt;=Vinduer!$D$5:$D$300)*(AJ$4&gt;=Vinduer!$C$5:$C$300)*(AJ$4&lt;=Vinduer!$D$5:$D$300)+(Vinduer!$C$5:$C$300&gt;Vinduer!$D$5:$D$300)*(((AJ$4&gt;=Vinduer!$C$5:$C$300)+(AJ$4&lt;=Vinduer!$D$5:$D$300))&gt;0)))))))</f>
        <v/>
      </c>
      <c r="AK68" s="19">
        <f>IF($A68="","",IF(COUNTIFS(Måned!$A$5:$A$2000,$A68,Måned!$C$5:$C$2000,MONTH(AK$5+3))=0,"",MAX(1,MIN(5,SUMIFS(Måned!$H$5:$H$2000,Måned!$A$5:$A$2000,$A68,Måned!$C$5:$C$2000,MONTH(AK$5+3))+SUMPRODUCT((Vinduer!$A$5:$A$300=$A68)*Vinduer!$F$5:$F$300*(((Vinduer!$G$5:$G$300="")+(Vinduer!$G$5:$G$300=$B$2))&gt;0)*((Vinduer!$C$5:$C$300&lt;=Vinduer!$D$5:$D$300)*(AK$4&gt;=Vinduer!$C$5:$C$300)*(AK$4&lt;=Vinduer!$D$5:$D$300)+(Vinduer!$C$5:$C$300&gt;Vinduer!$D$5:$D$300)*(((AK$4&gt;=Vinduer!$C$5:$C$300)+(AK$4&lt;=Vinduer!$D$5:$D$300))&gt;0)))))))</f>
        <v/>
      </c>
      <c r="AL68" s="19">
        <f>IF($A68="","",IF(COUNTIFS(Måned!$A$5:$A$2000,$A68,Måned!$C$5:$C$2000,MONTH(AL$5+3))=0,"",MAX(1,MIN(5,SUMIFS(Måned!$H$5:$H$2000,Måned!$A$5:$A$2000,$A68,Måned!$C$5:$C$2000,MONTH(AL$5+3))+SUMPRODUCT((Vinduer!$A$5:$A$300=$A68)*Vinduer!$F$5:$F$300*(((Vinduer!$G$5:$G$300="")+(Vinduer!$G$5:$G$300=$B$2))&gt;0)*((Vinduer!$C$5:$C$300&lt;=Vinduer!$D$5:$D$300)*(AL$4&gt;=Vinduer!$C$5:$C$300)*(AL$4&lt;=Vinduer!$D$5:$D$300)+(Vinduer!$C$5:$C$300&gt;Vinduer!$D$5:$D$300)*(((AL$4&gt;=Vinduer!$C$5:$C$300)+(AL$4&lt;=Vinduer!$D$5:$D$300))&gt;0)))))))</f>
        <v/>
      </c>
      <c r="AM68" s="19">
        <f>IF($A68="","",IF(COUNTIFS(Måned!$A$5:$A$2000,$A68,Måned!$C$5:$C$2000,MONTH(AM$5+3))=0,"",MAX(1,MIN(5,SUMIFS(Måned!$H$5:$H$2000,Måned!$A$5:$A$2000,$A68,Måned!$C$5:$C$2000,MONTH(AM$5+3))+SUMPRODUCT((Vinduer!$A$5:$A$300=$A68)*Vinduer!$F$5:$F$300*(((Vinduer!$G$5:$G$300="")+(Vinduer!$G$5:$G$300=$B$2))&gt;0)*((Vinduer!$C$5:$C$300&lt;=Vinduer!$D$5:$D$300)*(AM$4&gt;=Vinduer!$C$5:$C$300)*(AM$4&lt;=Vinduer!$D$5:$D$300)+(Vinduer!$C$5:$C$300&gt;Vinduer!$D$5:$D$300)*(((AM$4&gt;=Vinduer!$C$5:$C$300)+(AM$4&lt;=Vinduer!$D$5:$D$300))&gt;0)))))))</f>
        <v/>
      </c>
      <c r="AN68" s="19">
        <f>IF($A68="","",IF(COUNTIFS(Måned!$A$5:$A$2000,$A68,Måned!$C$5:$C$2000,MONTH(AN$5+3))=0,"",MAX(1,MIN(5,SUMIFS(Måned!$H$5:$H$2000,Måned!$A$5:$A$2000,$A68,Måned!$C$5:$C$2000,MONTH(AN$5+3))+SUMPRODUCT((Vinduer!$A$5:$A$300=$A68)*Vinduer!$F$5:$F$300*(((Vinduer!$G$5:$G$300="")+(Vinduer!$G$5:$G$300=$B$2))&gt;0)*((Vinduer!$C$5:$C$300&lt;=Vinduer!$D$5:$D$300)*(AN$4&gt;=Vinduer!$C$5:$C$300)*(AN$4&lt;=Vinduer!$D$5:$D$300)+(Vinduer!$C$5:$C$300&gt;Vinduer!$D$5:$D$300)*(((AN$4&gt;=Vinduer!$C$5:$C$300)+(AN$4&lt;=Vinduer!$D$5:$D$300))&gt;0)))))))</f>
        <v/>
      </c>
      <c r="AO68" s="19">
        <f>IF($A68="","",IF(COUNTIFS(Måned!$A$5:$A$2000,$A68,Måned!$C$5:$C$2000,MONTH(AO$5+3))=0,"",MAX(1,MIN(5,SUMIFS(Måned!$H$5:$H$2000,Måned!$A$5:$A$2000,$A68,Måned!$C$5:$C$2000,MONTH(AO$5+3))+SUMPRODUCT((Vinduer!$A$5:$A$300=$A68)*Vinduer!$F$5:$F$300*(((Vinduer!$G$5:$G$300="")+(Vinduer!$G$5:$G$300=$B$2))&gt;0)*((Vinduer!$C$5:$C$300&lt;=Vinduer!$D$5:$D$300)*(AO$4&gt;=Vinduer!$C$5:$C$300)*(AO$4&lt;=Vinduer!$D$5:$D$300)+(Vinduer!$C$5:$C$300&gt;Vinduer!$D$5:$D$300)*(((AO$4&gt;=Vinduer!$C$5:$C$300)+(AO$4&lt;=Vinduer!$D$5:$D$300))&gt;0)))))))</f>
        <v/>
      </c>
      <c r="AP68" s="19">
        <f>IF($A68="","",IF(COUNTIFS(Måned!$A$5:$A$2000,$A68,Måned!$C$5:$C$2000,MONTH(AP$5+3))=0,"",MAX(1,MIN(5,SUMIFS(Måned!$H$5:$H$2000,Måned!$A$5:$A$2000,$A68,Måned!$C$5:$C$2000,MONTH(AP$5+3))+SUMPRODUCT((Vinduer!$A$5:$A$300=$A68)*Vinduer!$F$5:$F$300*(((Vinduer!$G$5:$G$300="")+(Vinduer!$G$5:$G$300=$B$2))&gt;0)*((Vinduer!$C$5:$C$300&lt;=Vinduer!$D$5:$D$300)*(AP$4&gt;=Vinduer!$C$5:$C$300)*(AP$4&lt;=Vinduer!$D$5:$D$300)+(Vinduer!$C$5:$C$300&gt;Vinduer!$D$5:$D$300)*(((AP$4&gt;=Vinduer!$C$5:$C$300)+(AP$4&lt;=Vinduer!$D$5:$D$300))&gt;0)))))))</f>
        <v/>
      </c>
      <c r="AQ68" s="19">
        <f>IF($A68="","",IF(COUNTIFS(Måned!$A$5:$A$2000,$A68,Måned!$C$5:$C$2000,MONTH(AQ$5+3))=0,"",MAX(1,MIN(5,SUMIFS(Måned!$H$5:$H$2000,Måned!$A$5:$A$2000,$A68,Måned!$C$5:$C$2000,MONTH(AQ$5+3))+SUMPRODUCT((Vinduer!$A$5:$A$300=$A68)*Vinduer!$F$5:$F$300*(((Vinduer!$G$5:$G$300="")+(Vinduer!$G$5:$G$300=$B$2))&gt;0)*((Vinduer!$C$5:$C$300&lt;=Vinduer!$D$5:$D$300)*(AQ$4&gt;=Vinduer!$C$5:$C$300)*(AQ$4&lt;=Vinduer!$D$5:$D$300)+(Vinduer!$C$5:$C$300&gt;Vinduer!$D$5:$D$300)*(((AQ$4&gt;=Vinduer!$C$5:$C$300)+(AQ$4&lt;=Vinduer!$D$5:$D$300))&gt;0)))))))</f>
        <v/>
      </c>
      <c r="AR68" s="19">
        <f>IF($A68="","",IF(COUNTIFS(Måned!$A$5:$A$2000,$A68,Måned!$C$5:$C$2000,MONTH(AR$5+3))=0,"",MAX(1,MIN(5,SUMIFS(Måned!$H$5:$H$2000,Måned!$A$5:$A$2000,$A68,Måned!$C$5:$C$2000,MONTH(AR$5+3))+SUMPRODUCT((Vinduer!$A$5:$A$300=$A68)*Vinduer!$F$5:$F$300*(((Vinduer!$G$5:$G$300="")+(Vinduer!$G$5:$G$300=$B$2))&gt;0)*((Vinduer!$C$5:$C$300&lt;=Vinduer!$D$5:$D$300)*(AR$4&gt;=Vinduer!$C$5:$C$300)*(AR$4&lt;=Vinduer!$D$5:$D$300)+(Vinduer!$C$5:$C$300&gt;Vinduer!$D$5:$D$300)*(((AR$4&gt;=Vinduer!$C$5:$C$300)+(AR$4&lt;=Vinduer!$D$5:$D$300))&gt;0)))))))</f>
        <v/>
      </c>
      <c r="AS68" s="19">
        <f>IF($A68="","",IF(COUNTIFS(Måned!$A$5:$A$2000,$A68,Måned!$C$5:$C$2000,MONTH(AS$5+3))=0,"",MAX(1,MIN(5,SUMIFS(Måned!$H$5:$H$2000,Måned!$A$5:$A$2000,$A68,Måned!$C$5:$C$2000,MONTH(AS$5+3))+SUMPRODUCT((Vinduer!$A$5:$A$300=$A68)*Vinduer!$F$5:$F$300*(((Vinduer!$G$5:$G$300="")+(Vinduer!$G$5:$G$300=$B$2))&gt;0)*((Vinduer!$C$5:$C$300&lt;=Vinduer!$D$5:$D$300)*(AS$4&gt;=Vinduer!$C$5:$C$300)*(AS$4&lt;=Vinduer!$D$5:$D$300)+(Vinduer!$C$5:$C$300&gt;Vinduer!$D$5:$D$300)*(((AS$4&gt;=Vinduer!$C$5:$C$300)+(AS$4&lt;=Vinduer!$D$5:$D$300))&gt;0)))))))</f>
        <v/>
      </c>
      <c r="AT68" s="19">
        <f>IF($A68="","",IF(COUNTIFS(Måned!$A$5:$A$2000,$A68,Måned!$C$5:$C$2000,MONTH(AT$5+3))=0,"",MAX(1,MIN(5,SUMIFS(Måned!$H$5:$H$2000,Måned!$A$5:$A$2000,$A68,Måned!$C$5:$C$2000,MONTH(AT$5+3))+SUMPRODUCT((Vinduer!$A$5:$A$300=$A68)*Vinduer!$F$5:$F$300*(((Vinduer!$G$5:$G$300="")+(Vinduer!$G$5:$G$300=$B$2))&gt;0)*((Vinduer!$C$5:$C$300&lt;=Vinduer!$D$5:$D$300)*(AT$4&gt;=Vinduer!$C$5:$C$300)*(AT$4&lt;=Vinduer!$D$5:$D$300)+(Vinduer!$C$5:$C$300&gt;Vinduer!$D$5:$D$300)*(((AT$4&gt;=Vinduer!$C$5:$C$300)+(AT$4&lt;=Vinduer!$D$5:$D$300))&gt;0)))))))</f>
        <v/>
      </c>
      <c r="AU68" s="19">
        <f>IF($A68="","",IF(COUNTIFS(Måned!$A$5:$A$2000,$A68,Måned!$C$5:$C$2000,MONTH(AU$5+3))=0,"",MAX(1,MIN(5,SUMIFS(Måned!$H$5:$H$2000,Måned!$A$5:$A$2000,$A68,Måned!$C$5:$C$2000,MONTH(AU$5+3))+SUMPRODUCT((Vinduer!$A$5:$A$300=$A68)*Vinduer!$F$5:$F$300*(((Vinduer!$G$5:$G$300="")+(Vinduer!$G$5:$G$300=$B$2))&gt;0)*((Vinduer!$C$5:$C$300&lt;=Vinduer!$D$5:$D$300)*(AU$4&gt;=Vinduer!$C$5:$C$300)*(AU$4&lt;=Vinduer!$D$5:$D$300)+(Vinduer!$C$5:$C$300&gt;Vinduer!$D$5:$D$300)*(((AU$4&gt;=Vinduer!$C$5:$C$300)+(AU$4&lt;=Vinduer!$D$5:$D$300))&gt;0)))))))</f>
        <v/>
      </c>
      <c r="AV68" s="19">
        <f>IF($A68="","",IF(COUNTIFS(Måned!$A$5:$A$2000,$A68,Måned!$C$5:$C$2000,MONTH(AV$5+3))=0,"",MAX(1,MIN(5,SUMIFS(Måned!$H$5:$H$2000,Måned!$A$5:$A$2000,$A68,Måned!$C$5:$C$2000,MONTH(AV$5+3))+SUMPRODUCT((Vinduer!$A$5:$A$300=$A68)*Vinduer!$F$5:$F$300*(((Vinduer!$G$5:$G$300="")+(Vinduer!$G$5:$G$300=$B$2))&gt;0)*((Vinduer!$C$5:$C$300&lt;=Vinduer!$D$5:$D$300)*(AV$4&gt;=Vinduer!$C$5:$C$300)*(AV$4&lt;=Vinduer!$D$5:$D$300)+(Vinduer!$C$5:$C$300&gt;Vinduer!$D$5:$D$300)*(((AV$4&gt;=Vinduer!$C$5:$C$300)+(AV$4&lt;=Vinduer!$D$5:$D$300))&gt;0)))))))</f>
        <v/>
      </c>
      <c r="AW68" s="19">
        <f>IF($A68="","",IF(COUNTIFS(Måned!$A$5:$A$2000,$A68,Måned!$C$5:$C$2000,MONTH(AW$5+3))=0,"",MAX(1,MIN(5,SUMIFS(Måned!$H$5:$H$2000,Måned!$A$5:$A$2000,$A68,Måned!$C$5:$C$2000,MONTH(AW$5+3))+SUMPRODUCT((Vinduer!$A$5:$A$300=$A68)*Vinduer!$F$5:$F$300*(((Vinduer!$G$5:$G$300="")+(Vinduer!$G$5:$G$300=$B$2))&gt;0)*((Vinduer!$C$5:$C$300&lt;=Vinduer!$D$5:$D$300)*(AW$4&gt;=Vinduer!$C$5:$C$300)*(AW$4&lt;=Vinduer!$D$5:$D$300)+(Vinduer!$C$5:$C$300&gt;Vinduer!$D$5:$D$300)*(((AW$4&gt;=Vinduer!$C$5:$C$300)+(AW$4&lt;=Vinduer!$D$5:$D$300))&gt;0)))))))</f>
        <v/>
      </c>
      <c r="AX68" s="19">
        <f>IF($A68="","",IF(COUNTIFS(Måned!$A$5:$A$2000,$A68,Måned!$C$5:$C$2000,MONTH(AX$5+3))=0,"",MAX(1,MIN(5,SUMIFS(Måned!$H$5:$H$2000,Måned!$A$5:$A$2000,$A68,Måned!$C$5:$C$2000,MONTH(AX$5+3))+SUMPRODUCT((Vinduer!$A$5:$A$300=$A68)*Vinduer!$F$5:$F$300*(((Vinduer!$G$5:$G$300="")+(Vinduer!$G$5:$G$300=$B$2))&gt;0)*((Vinduer!$C$5:$C$300&lt;=Vinduer!$D$5:$D$300)*(AX$4&gt;=Vinduer!$C$5:$C$300)*(AX$4&lt;=Vinduer!$D$5:$D$300)+(Vinduer!$C$5:$C$300&gt;Vinduer!$D$5:$D$300)*(((AX$4&gt;=Vinduer!$C$5:$C$300)+(AX$4&lt;=Vinduer!$D$5:$D$300))&gt;0)))))))</f>
        <v/>
      </c>
      <c r="AY68" s="19">
        <f>IF($A68="","",IF(COUNTIFS(Måned!$A$5:$A$2000,$A68,Måned!$C$5:$C$2000,MONTH(AY$5+3))=0,"",MAX(1,MIN(5,SUMIFS(Måned!$H$5:$H$2000,Måned!$A$5:$A$2000,$A68,Måned!$C$5:$C$2000,MONTH(AY$5+3))+SUMPRODUCT((Vinduer!$A$5:$A$300=$A68)*Vinduer!$F$5:$F$300*(((Vinduer!$G$5:$G$300="")+(Vinduer!$G$5:$G$300=$B$2))&gt;0)*((Vinduer!$C$5:$C$300&lt;=Vinduer!$D$5:$D$300)*(AY$4&gt;=Vinduer!$C$5:$C$300)*(AY$4&lt;=Vinduer!$D$5:$D$300)+(Vinduer!$C$5:$C$300&gt;Vinduer!$D$5:$D$300)*(((AY$4&gt;=Vinduer!$C$5:$C$300)+(AY$4&lt;=Vinduer!$D$5:$D$300))&gt;0)))))))</f>
        <v/>
      </c>
      <c r="AZ68" s="19">
        <f>IF($A68="","",IF(COUNTIFS(Måned!$A$5:$A$2000,$A68,Måned!$C$5:$C$2000,MONTH(AZ$5+3))=0,"",MAX(1,MIN(5,SUMIFS(Måned!$H$5:$H$2000,Måned!$A$5:$A$2000,$A68,Måned!$C$5:$C$2000,MONTH(AZ$5+3))+SUMPRODUCT((Vinduer!$A$5:$A$300=$A68)*Vinduer!$F$5:$F$300*(((Vinduer!$G$5:$G$300="")+(Vinduer!$G$5:$G$300=$B$2))&gt;0)*((Vinduer!$C$5:$C$300&lt;=Vinduer!$D$5:$D$300)*(AZ$4&gt;=Vinduer!$C$5:$C$300)*(AZ$4&lt;=Vinduer!$D$5:$D$300)+(Vinduer!$C$5:$C$300&gt;Vinduer!$D$5:$D$300)*(((AZ$4&gt;=Vinduer!$C$5:$C$300)+(AZ$4&lt;=Vinduer!$D$5:$D$300))&gt;0)))))))</f>
        <v/>
      </c>
      <c r="BA68" s="19">
        <f>IF($A68="","",IF(COUNTIFS(Måned!$A$5:$A$2000,$A68,Måned!$C$5:$C$2000,MONTH(BA$5+3))=0,"",MAX(1,MIN(5,SUMIFS(Måned!$H$5:$H$2000,Måned!$A$5:$A$2000,$A68,Måned!$C$5:$C$2000,MONTH(BA$5+3))+SUMPRODUCT((Vinduer!$A$5:$A$300=$A68)*Vinduer!$F$5:$F$300*(((Vinduer!$G$5:$G$300="")+(Vinduer!$G$5:$G$300=$B$2))&gt;0)*((Vinduer!$C$5:$C$300&lt;=Vinduer!$D$5:$D$300)*(BA$4&gt;=Vinduer!$C$5:$C$300)*(BA$4&lt;=Vinduer!$D$5:$D$300)+(Vinduer!$C$5:$C$300&gt;Vinduer!$D$5:$D$300)*(((BA$4&gt;=Vinduer!$C$5:$C$300)+(BA$4&lt;=Vinduer!$D$5:$D$300))&gt;0)))))))</f>
        <v/>
      </c>
      <c r="BB68" s="19">
        <f>IF($A68="","",IF(COUNTIFS(Måned!$A$5:$A$2000,$A68,Måned!$C$5:$C$2000,MONTH(BB$5+3))=0,"",MAX(1,MIN(5,SUMIFS(Måned!$H$5:$H$2000,Måned!$A$5:$A$2000,$A68,Måned!$C$5:$C$2000,MONTH(BB$5+3))+SUMPRODUCT((Vinduer!$A$5:$A$300=$A68)*Vinduer!$F$5:$F$300*(((Vinduer!$G$5:$G$300="")+(Vinduer!$G$5:$G$300=$B$2))&gt;0)*((Vinduer!$C$5:$C$300&lt;=Vinduer!$D$5:$D$300)*(BB$4&gt;=Vinduer!$C$5:$C$300)*(BB$4&lt;=Vinduer!$D$5:$D$300)+(Vinduer!$C$5:$C$300&gt;Vinduer!$D$5:$D$300)*(((BB$4&gt;=Vinduer!$C$5:$C$300)+(BB$4&lt;=Vinduer!$D$5:$D$300))&gt;0)))))))</f>
        <v/>
      </c>
      <c r="BC68" s="19">
        <f>IF($A68="","",IF(COUNTIFS(Måned!$A$5:$A$2000,$A68,Måned!$C$5:$C$2000,MONTH(BC$5+3))=0,"",MAX(1,MIN(5,SUMIFS(Måned!$H$5:$H$2000,Måned!$A$5:$A$2000,$A68,Måned!$C$5:$C$2000,MONTH(BC$5+3))+SUMPRODUCT((Vinduer!$A$5:$A$300=$A68)*Vinduer!$F$5:$F$300*(((Vinduer!$G$5:$G$300="")+(Vinduer!$G$5:$G$300=$B$2))&gt;0)*((Vinduer!$C$5:$C$300&lt;=Vinduer!$D$5:$D$300)*(BC$4&gt;=Vinduer!$C$5:$C$300)*(BC$4&lt;=Vinduer!$D$5:$D$300)+(Vinduer!$C$5:$C$300&gt;Vinduer!$D$5:$D$300)*(((BC$4&gt;=Vinduer!$C$5:$C$300)+(BC$4&lt;=Vinduer!$D$5:$D$300))&gt;0)))))))</f>
        <v/>
      </c>
      <c r="BD68" s="19">
        <f>IF($A68="","",IF(COUNTIFS(Måned!$A$5:$A$2000,$A68,Måned!$C$5:$C$2000,MONTH(BD$5+3))=0,"",MAX(1,MIN(5,SUMIFS(Måned!$H$5:$H$2000,Måned!$A$5:$A$2000,$A68,Måned!$C$5:$C$2000,MONTH(BD$5+3))+SUMPRODUCT((Vinduer!$A$5:$A$300=$A68)*Vinduer!$F$5:$F$300*(((Vinduer!$G$5:$G$300="")+(Vinduer!$G$5:$G$300=$B$2))&gt;0)*((Vinduer!$C$5:$C$300&lt;=Vinduer!$D$5:$D$300)*(BD$4&gt;=Vinduer!$C$5:$C$300)*(BD$4&lt;=Vinduer!$D$5:$D$300)+(Vinduer!$C$5:$C$300&gt;Vinduer!$D$5:$D$300)*(((BD$4&gt;=Vinduer!$C$5:$C$300)+(BD$4&lt;=Vinduer!$D$5:$D$300))&gt;0)))))))</f>
        <v/>
      </c>
      <c r="BE68" s="19">
        <f>IF($A68="","",IF(COUNTIFS(Måned!$A$5:$A$2000,$A68,Måned!$C$5:$C$2000,MONTH(BE$5+3))=0,"",MAX(1,MIN(5,SUMIFS(Måned!$H$5:$H$2000,Måned!$A$5:$A$2000,$A68,Måned!$C$5:$C$2000,MONTH(BE$5+3))+SUMPRODUCT((Vinduer!$A$5:$A$300=$A68)*Vinduer!$F$5:$F$300*(((Vinduer!$G$5:$G$300="")+(Vinduer!$G$5:$G$300=$B$2))&gt;0)*((Vinduer!$C$5:$C$300&lt;=Vinduer!$D$5:$D$300)*(BE$4&gt;=Vinduer!$C$5:$C$300)*(BE$4&lt;=Vinduer!$D$5:$D$300)+(Vinduer!$C$5:$C$300&gt;Vinduer!$D$5:$D$300)*(((BE$4&gt;=Vinduer!$C$5:$C$300)+(BE$4&lt;=Vinduer!$D$5:$D$300))&gt;0)))))))</f>
        <v/>
      </c>
    </row>
  </sheetData>
  <autoFilter ref="A8:BE68"/>
  <conditionalFormatting sqref="F9:BE68">
    <cfRule type="expression" priority="1" dxfId="0" stopIfTrue="1">
      <formula>AND(ISNUMBER(F9),F9&gt;=$B$4-0.001)</formula>
    </cfRule>
    <cfRule type="expression" priority="2" dxfId="1">
      <formula>AND(ISNUMBER(F9),F9&gt;=$B$3-0.001)</formula>
    </cfRule>
  </conditionalFormatting>
  <conditionalFormatting sqref="D9:E68">
    <cfRule type="expression" priority="3" dxfId="0" stopIfTrue="1">
      <formula>AND(ISNUMBER(D9),D9&gt;=$B$4-0.001)</formula>
    </cfRule>
    <cfRule type="expression" priority="4" dxfId="1">
      <formula>AND(ISNUMBER(D9),D9&gt;=$B$3-0.001)</formula>
    </cfRule>
  </conditionalFormatting>
  <conditionalFormatting sqref="F4:BE6">
    <cfRule type="expression" priority="5" dxfId="2">
      <formula>F$7="x"</formula>
    </cfRule>
  </conditionalFormatting>
  <conditionalFormatting sqref="F4:BE68">
    <cfRule type="expression" priority="6" dxfId="3">
      <formula>IFERROR(MONTH(F$5+3)&lt;&gt;MONTH(E$5+3),FALSE)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30" customWidth="1" min="4" max="4"/>
    <col width="40" customWidth="1" min="5" max="5"/>
    <col width="12" customWidth="1" min="6" max="6"/>
    <col width="18" customWidth="1" min="7" max="7"/>
    <col width="10" customWidth="1" min="8" max="8"/>
    <col width="10" customWidth="1" min="9" max="9"/>
    <col width="50" customWidth="1" min="10" max="10"/>
    <col width="60" customWidth="1" min="11" max="11"/>
  </cols>
  <sheetData>
    <row r="1">
      <c r="A1" s="2" t="inlineStr">
        <is>
          <t>Destinasjoner (master: .md-filen)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Legg nye destinasjoner nederst (reserverte rader har formler). ID må være unik.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0" t="inlineStr">
        <is>
          <t>ID</t>
        </is>
      </c>
      <c r="B4" s="20" t="inlineStr">
        <is>
          <t>Region</t>
        </is>
      </c>
      <c r="C4" s="20" t="inlineStr">
        <is>
          <t>Land</t>
        </is>
      </c>
      <c r="D4" s="20" t="inlineStr">
        <is>
          <t>Sted / fokus</t>
        </is>
      </c>
      <c r="E4" s="20" t="inlineStr">
        <is>
          <t>Visningsnavn</t>
        </is>
      </c>
      <c r="F4" s="20" t="inlineStr">
        <is>
          <t>Status</t>
        </is>
      </c>
      <c r="G4" s="20" t="inlineStr">
        <is>
          <t>Kategori</t>
        </is>
      </c>
      <c r="H4" s="20" t="inlineStr">
        <is>
          <t>Varighet (dager)</t>
        </is>
      </c>
      <c r="I4" s="20" t="inlineStr">
        <is>
          <t>Data i Måned</t>
        </is>
      </c>
      <c r="J4" s="20" t="inlineStr">
        <is>
          <t>Merknad</t>
        </is>
      </c>
      <c r="K4" s="20" t="inlineStr">
        <is>
          <t>Klimakilde (stasjon, periode)</t>
        </is>
      </c>
    </row>
    <row r="5">
      <c r="A5" s="21" t="inlineStr">
        <is>
          <t>BTN</t>
        </is>
      </c>
      <c r="B5" s="21" t="inlineStr">
        <is>
          <t>Asia, Oseania og Midt-Østen</t>
        </is>
      </c>
      <c r="C5" s="21" t="inlineStr">
        <is>
          <t>Bhutan</t>
        </is>
      </c>
      <c r="D5" s="21" t="n"/>
      <c r="E5" s="5">
        <f>IF(A5="","",C5&amp;IF(D5&lt;&gt;""," – "&amp;D5,""))</f>
        <v/>
      </c>
      <c r="F5" s="21" t="inlineStr">
        <is>
          <t>Ikke besøkt</t>
        </is>
      </c>
      <c r="G5" s="21" t="inlineStr">
        <is>
          <t>Kultur / natur</t>
        </is>
      </c>
      <c r="H5" s="21" t="n"/>
      <c r="I5" s="5">
        <f>IF(A5="","",IF(COUNTIF(Måned!$A$5:$A$2000,A5)&gt;0,"Ja",""))</f>
        <v/>
      </c>
      <c r="J5" s="21" t="n"/>
      <c r="K5" s="21" t="inlineStr">
        <is>
          <t>Paro (2406 moh), NCHM Bhutan 1996–2017, via Wikipedia</t>
        </is>
      </c>
    </row>
    <row r="6">
      <c r="A6" s="21" t="inlineStr">
        <is>
          <t>MMR</t>
        </is>
      </c>
      <c r="B6" s="21" t="inlineStr">
        <is>
          <t>Asia, Oseania og Midt-Østen</t>
        </is>
      </c>
      <c r="C6" s="21" t="inlineStr">
        <is>
          <t>Myanmar</t>
        </is>
      </c>
      <c r="D6" s="21" t="n"/>
      <c r="E6" s="5">
        <f>IF(A6="","",C6&amp;IF(D6&lt;&gt;""," – "&amp;D6,""))</f>
        <v/>
      </c>
      <c r="F6" s="21" t="inlineStr">
        <is>
          <t>Ikke besøkt</t>
        </is>
      </c>
      <c r="G6" s="21" t="inlineStr">
        <is>
          <t>Kultur</t>
        </is>
      </c>
      <c r="H6" s="21" t="n"/>
      <c r="I6" s="5">
        <f>IF(A6="","",IF(COUNTIF(Måned!$A$5:$A$2000,A6)&gt;0,"Ja",""))</f>
        <v/>
      </c>
      <c r="J6" s="21" t="inlineStr">
        <is>
          <t>Sikkerhet: borgerkrig – sjekk UDs reiseråd før planlegging</t>
        </is>
      </c>
      <c r="K6" s="21" t="inlineStr">
        <is>
          <t>Yangon (Kaba-Aye), WMO 1991–2020, via Wikipedia. Mandalay/Bagan: tørrere, men hetere (apr 39 °C)</t>
        </is>
      </c>
    </row>
    <row r="7">
      <c r="A7" s="21" t="inlineStr">
        <is>
          <t>LAO</t>
        </is>
      </c>
      <c r="B7" s="21" t="inlineStr">
        <is>
          <t>Asia, Oseania og Midt-Østen</t>
        </is>
      </c>
      <c r="C7" s="21" t="inlineStr">
        <is>
          <t>Laos</t>
        </is>
      </c>
      <c r="D7" s="21" t="n"/>
      <c r="E7" s="5">
        <f>IF(A7="","",C7&amp;IF(D7&lt;&gt;""," – "&amp;D7,""))</f>
        <v/>
      </c>
      <c r="F7" s="21" t="inlineStr">
        <is>
          <t>Ikke besøkt</t>
        </is>
      </c>
      <c r="G7" s="21" t="inlineStr">
        <is>
          <t>Kultur / natur</t>
        </is>
      </c>
      <c r="H7" s="21" t="n"/>
      <c r="I7" s="5">
        <f>IF(A7="","",IF(COUNTIF(Måned!$A$5:$A$2000,A7)&gt;0,"Ja",""))</f>
        <v/>
      </c>
      <c r="J7" s="21" t="n"/>
      <c r="K7" s="21" t="inlineStr">
        <is>
          <t>Luang Prabang, WMO 1991–2020, via Wikipedia</t>
        </is>
      </c>
    </row>
    <row r="8">
      <c r="A8" s="21" t="inlineStr">
        <is>
          <t>NPL</t>
        </is>
      </c>
      <c r="B8" s="21" t="inlineStr">
        <is>
          <t>Asia, Oseania og Midt-Østen</t>
        </is>
      </c>
      <c r="C8" s="21" t="inlineStr">
        <is>
          <t>Nepal</t>
        </is>
      </c>
      <c r="D8" s="21" t="inlineStr">
        <is>
          <t>Katmandu, Pokhara</t>
        </is>
      </c>
      <c r="E8" s="5">
        <f>IF(A8="","",C8&amp;IF(D8&lt;&gt;""," – "&amp;D8,""))</f>
        <v/>
      </c>
      <c r="F8" s="21" t="inlineStr">
        <is>
          <t>Ikke besøkt</t>
        </is>
      </c>
      <c r="G8" s="21" t="inlineStr">
        <is>
          <t>Natur / trekking</t>
        </is>
      </c>
      <c r="H8" s="21" t="n"/>
      <c r="I8" s="5">
        <f>IF(A8="","",IF(COUNTIF(Måned!$A$5:$A$2000,A8)&gt;0,"Ja",""))</f>
        <v/>
      </c>
      <c r="J8" s="21" t="inlineStr">
        <is>
          <t>Katmandu + Pokhara; evt. trekking (Annapurna)</t>
        </is>
      </c>
      <c r="K8" s="21" t="inlineStr">
        <is>
          <t>Pokhara lufthavn (827 moh), WMO/DHM 1991–2020, via Wikipedia. Katmandu: halvparten av nedbøren, ~1 °C kjøligere</t>
        </is>
      </c>
    </row>
    <row r="9">
      <c r="A9" s="21" t="inlineStr">
        <is>
          <t>IND-GOA</t>
        </is>
      </c>
      <c r="B9" s="21" t="inlineStr">
        <is>
          <t>Asia, Oseania og Midt-Østen</t>
        </is>
      </c>
      <c r="C9" s="21" t="inlineStr">
        <is>
          <t>India</t>
        </is>
      </c>
      <c r="D9" s="21" t="inlineStr">
        <is>
          <t>Goa</t>
        </is>
      </c>
      <c r="E9" s="5">
        <f>IF(A9="","",C9&amp;IF(D9&lt;&gt;""," – "&amp;D9,""))</f>
        <v/>
      </c>
      <c r="F9" s="21" t="inlineStr">
        <is>
          <t>Ikke besøkt</t>
        </is>
      </c>
      <c r="G9" s="21" t="inlineStr">
        <is>
          <t>Strand</t>
        </is>
      </c>
      <c r="H9" s="21" t="n"/>
      <c r="I9" s="5">
        <f>IF(A9="","",IF(COUNTIF(Måned!$A$5:$A$2000,A9)&gt;0,"Ja",""))</f>
        <v/>
      </c>
      <c r="J9" s="21" t="n"/>
      <c r="K9" s="21" t="inlineStr">
        <is>
          <t>Panaji (Panjim), IMD / Tokyo Climate Center 1991–2020, via Wikipedia</t>
        </is>
      </c>
    </row>
    <row r="10">
      <c r="A10" s="21" t="inlineStr">
        <is>
          <t>LKA-SV</t>
        </is>
      </c>
      <c r="B10" s="21" t="inlineStr">
        <is>
          <t>Asia, Oseania og Midt-Østen</t>
        </is>
      </c>
      <c r="C10" s="21" t="inlineStr">
        <is>
          <t>Sri Lanka</t>
        </is>
      </c>
      <c r="D10" s="21" t="inlineStr">
        <is>
          <t>Vest- og sørkysten, høylandet</t>
        </is>
      </c>
      <c r="E10" s="5">
        <f>IF(A10="","",C10&amp;IF(D10&lt;&gt;""," – "&amp;D10,""))</f>
        <v/>
      </c>
      <c r="F10" s="21" t="inlineStr">
        <is>
          <t>Ikke besøkt</t>
        </is>
      </c>
      <c r="G10" s="21" t="inlineStr">
        <is>
          <t>Strand / kultur</t>
        </is>
      </c>
      <c r="H10" s="21" t="n"/>
      <c r="I10" s="5">
        <f>IF(A10="","",IF(COUNTIF(Måned!$A$5:$A$2000,A10)&gt;0,"Ja",""))</f>
        <v/>
      </c>
      <c r="J10" s="21" t="inlineStr">
        <is>
          <t>Sørvestmonsun mai–sep; best des–apr</t>
        </is>
      </c>
      <c r="K10" s="21" t="inlineStr">
        <is>
          <t>Colombo, WMO 1991–2020, via Wikipedia. Høylandet: kjøligere, tilsvarende regnmønster</t>
        </is>
      </c>
    </row>
    <row r="11">
      <c r="A11" s="21" t="inlineStr">
        <is>
          <t>LKA-O</t>
        </is>
      </c>
      <c r="B11" s="21" t="inlineStr">
        <is>
          <t>Asia, Oseania og Midt-Østen</t>
        </is>
      </c>
      <c r="C11" s="21" t="inlineStr">
        <is>
          <t>Sri Lanka</t>
        </is>
      </c>
      <c r="D11" s="21" t="inlineStr">
        <is>
          <t>Østkysten (Trincomalee, Arugam Bay)</t>
        </is>
      </c>
      <c r="E11" s="5">
        <f>IF(A11="","",C11&amp;IF(D11&lt;&gt;""," – "&amp;D11,""))</f>
        <v/>
      </c>
      <c r="F11" s="21" t="inlineStr">
        <is>
          <t>Ikke besøkt</t>
        </is>
      </c>
      <c r="G11" s="21" t="inlineStr">
        <is>
          <t>Strand / surf</t>
        </is>
      </c>
      <c r="H11" s="21" t="n"/>
      <c r="I11" s="5">
        <f>IF(A11="","",IF(COUNTIF(Måned!$A$5:$A$2000,A11)&gt;0,"Ja",""))</f>
        <v/>
      </c>
      <c r="J11" s="21" t="inlineStr">
        <is>
          <t>Nordøstmonsun okt–jan; best mai–sep</t>
        </is>
      </c>
      <c r="K11" s="21" t="inlineStr">
        <is>
          <t>Trincomalee, 1991–2020, via Wikipedia</t>
        </is>
      </c>
    </row>
    <row r="12">
      <c r="A12" s="21" t="inlineStr">
        <is>
          <t>CHN</t>
        </is>
      </c>
      <c r="B12" s="21" t="inlineStr">
        <is>
          <t>Asia, Oseania og Midt-Østen</t>
        </is>
      </c>
      <c r="C12" s="21" t="inlineStr">
        <is>
          <t>Kina</t>
        </is>
      </c>
      <c r="D12" s="21" t="inlineStr">
        <is>
          <t>Beijing, Shanghai</t>
        </is>
      </c>
      <c r="E12" s="5">
        <f>IF(A12="","",C12&amp;IF(D12&lt;&gt;""," – "&amp;D12,""))</f>
        <v/>
      </c>
      <c r="F12" s="21" t="inlineStr">
        <is>
          <t>Ikke besøkt</t>
        </is>
      </c>
      <c r="G12" s="21" t="inlineStr">
        <is>
          <t>By / kultur</t>
        </is>
      </c>
      <c r="H12" s="21" t="n"/>
      <c r="I12" s="5">
        <f>IF(A12="","",IF(COUNTIF(Måned!$A$5:$A$2000,A12)&gt;0,"Ja",""))</f>
        <v/>
      </c>
      <c r="J12" s="21" t="n"/>
      <c r="K12" s="21" t="inlineStr">
        <is>
          <t>Beijing, CMA 1991–2020, via Wikipedia. Shanghai (Xujiahui): mildere vinter, våtere juni–sep</t>
        </is>
      </c>
    </row>
    <row r="13">
      <c r="A13" s="21" t="inlineStr">
        <is>
          <t>PYF</t>
        </is>
      </c>
      <c r="B13" s="21" t="inlineStr">
        <is>
          <t>Asia, Oseania og Midt-Østen</t>
        </is>
      </c>
      <c r="C13" s="21" t="inlineStr">
        <is>
          <t>Fransk Polynesia</t>
        </is>
      </c>
      <c r="D13" s="21" t="n"/>
      <c r="E13" s="5">
        <f>IF(A13="","",C13&amp;IF(D13&lt;&gt;""," – "&amp;D13,""))</f>
        <v/>
      </c>
      <c r="F13" s="21" t="inlineStr">
        <is>
          <t>Ikke besøkt</t>
        </is>
      </c>
      <c r="G13" s="21" t="inlineStr">
        <is>
          <t>Strand / dykking</t>
        </is>
      </c>
      <c r="H13" s="21" t="n"/>
      <c r="I13" s="5">
        <f>IF(A13="","",IF(COUNTIF(Måned!$A$5:$A$2000,A13)&gt;0,"Ja",""))</f>
        <v/>
      </c>
      <c r="J13" s="21" t="n"/>
      <c r="K13" s="21" t="inlineStr">
        <is>
          <t>Papeete, Météo-France 1981–2010, via Wikipedia</t>
        </is>
      </c>
    </row>
    <row r="14">
      <c r="A14" s="21" t="inlineStr">
        <is>
          <t>YEM-SOC</t>
        </is>
      </c>
      <c r="B14" s="21" t="inlineStr">
        <is>
          <t>Asia, Oseania og Midt-Østen</t>
        </is>
      </c>
      <c r="C14" s="21" t="inlineStr">
        <is>
          <t>Yemen</t>
        </is>
      </c>
      <c r="D14" s="21" t="inlineStr">
        <is>
          <t>Socotra</t>
        </is>
      </c>
      <c r="E14" s="5">
        <f>IF(A14="","",C14&amp;IF(D14&lt;&gt;""," – "&amp;D14,""))</f>
        <v/>
      </c>
      <c r="F14" s="21" t="inlineStr">
        <is>
          <t>Ikke besøkt</t>
        </is>
      </c>
      <c r="G14" s="21" t="inlineStr">
        <is>
          <t>Natur / ekspedisjon</t>
        </is>
      </c>
      <c r="H14" s="21" t="n"/>
      <c r="I14" s="5">
        <f>IF(A14="","",IF(COUNTIF(Måned!$A$5:$A$2000,A14)&gt;0,"Ja",""))</f>
        <v/>
      </c>
      <c r="J14" s="21" t="inlineStr">
        <is>
          <t>Sikkerhet: Yemen – sjekk UDs reiseråd; tilgang via charter fra Abu Dhabi</t>
        </is>
      </c>
      <c r="K14" s="21" t="inlineStr">
        <is>
          <t>Socotra lufthavn, DWD 1961–1990, via Wikipedia</t>
        </is>
      </c>
    </row>
    <row r="15">
      <c r="A15" s="21" t="inlineStr">
        <is>
          <t>VNM</t>
        </is>
      </c>
      <c r="B15" s="21" t="inlineStr">
        <is>
          <t>Asia, Oseania og Midt-Østen</t>
        </is>
      </c>
      <c r="C15" s="21" t="inlineStr">
        <is>
          <t>Vietnam</t>
        </is>
      </c>
      <c r="D15" s="21" t="inlineStr">
        <is>
          <t>Reunification Express + Hue</t>
        </is>
      </c>
      <c r="E15" s="5">
        <f>IF(A15="","",C15&amp;IF(D15&lt;&gt;""," – "&amp;D15,""))</f>
        <v/>
      </c>
      <c r="F15" s="21" t="inlineStr">
        <is>
          <t>Ikke besøkt</t>
        </is>
      </c>
      <c r="G15" s="21" t="inlineStr">
        <is>
          <t>Kultur / by / tog</t>
        </is>
      </c>
      <c r="H15" s="21" t="n">
        <v>14</v>
      </c>
      <c r="I15" s="5">
        <f>IF(A15="","",IF(COUNTIF(Måned!$A$5:$A$2000,A15)&gt;0,"Ja",""))</f>
        <v/>
      </c>
      <c r="J15" s="21" t="inlineStr">
        <is>
          <t>Hele landet langs ruten; Hue (sentral-Vietnam) er begrensende faktor for klima</t>
        </is>
      </c>
      <c r="K15" s="21" t="inlineStr">
        <is>
          <t>Hue, VIBST, via Wikipedia (periode ikke oppgitt). Hanoi (Láng, WMO 1991–2020) i begrunnelse</t>
        </is>
      </c>
    </row>
    <row r="16">
      <c r="A16" s="21" t="inlineStr">
        <is>
          <t>SILK</t>
        </is>
      </c>
      <c r="B16" s="21" t="inlineStr">
        <is>
          <t>Asia, Oseania og Midt-Østen</t>
        </is>
      </c>
      <c r="C16" s="21" t="inlineStr">
        <is>
          <t>Sentral-Asia</t>
        </is>
      </c>
      <c r="D16" s="21" t="inlineStr">
        <is>
          <t>Silkeveien</t>
        </is>
      </c>
      <c r="E16" s="5">
        <f>IF(A16="","",C16&amp;IF(D16&lt;&gt;""," – "&amp;D16,""))</f>
        <v/>
      </c>
      <c r="F16" s="21" t="inlineStr">
        <is>
          <t>Ikke besøkt</t>
        </is>
      </c>
      <c r="G16" s="21" t="inlineStr">
        <is>
          <t>Kultur / rundreise</t>
        </is>
      </c>
      <c r="H16" s="21" t="n"/>
      <c r="I16" s="5">
        <f>IF(A16="","",IF(COUNTIF(Måned!$A$5:$A$2000,A16)&gt;0,"Ja",""))</f>
        <v/>
      </c>
      <c r="J16" s="21" t="inlineStr">
        <is>
          <t>Rute avklares (Usbekistan, Kirgisistan, Kasakhstan, Tadsjikistan, Turkmenistan)</t>
        </is>
      </c>
      <c r="K16" s="21" t="inlineStr">
        <is>
          <t>Samarkand, 1991–2020 (pogoda.ru.net), via Wikipedia. Bukhara/Khiva: tørrere og ~3 °C hetere om sommeren</t>
        </is>
      </c>
    </row>
    <row r="17">
      <c r="A17" s="21" t="inlineStr">
        <is>
          <t>IDN-ROT</t>
        </is>
      </c>
      <c r="B17" s="21" t="inlineStr">
        <is>
          <t>Asia, Oseania og Midt-Østen</t>
        </is>
      </c>
      <c r="C17" s="21" t="inlineStr">
        <is>
          <t>Indonesia</t>
        </is>
      </c>
      <c r="D17" s="21" t="inlineStr">
        <is>
          <t>Rote</t>
        </is>
      </c>
      <c r="E17" s="5">
        <f>IF(A17="","",C17&amp;IF(D17&lt;&gt;""," – "&amp;D17,""))</f>
        <v/>
      </c>
      <c r="F17" s="21" t="inlineStr">
        <is>
          <t>Ikke besøkt</t>
        </is>
      </c>
      <c r="G17" s="21" t="inlineStr">
        <is>
          <t>Surf / strand</t>
        </is>
      </c>
      <c r="H17" s="21" t="n"/>
      <c r="I17" s="5">
        <f>IF(A17="","",IF(COUNTIF(Måned!$A$5:$A$2000,A17)&gt;0,"Ja",""))</f>
        <v/>
      </c>
      <c r="J17" s="21" t="n"/>
      <c r="K17" s="21" t="inlineStr">
        <is>
          <t>Kupang (El Tari), 1991–2020 (Starlings Roost Weather), via Wikipedia – nærmeste stasjon til Rote</t>
        </is>
      </c>
    </row>
    <row r="18">
      <c r="A18" s="21" t="inlineStr">
        <is>
          <t>SGP</t>
        </is>
      </c>
      <c r="B18" s="21" t="inlineStr">
        <is>
          <t>Asia, Oseania og Midt-Østen</t>
        </is>
      </c>
      <c r="C18" s="21" t="inlineStr">
        <is>
          <t>Singapore</t>
        </is>
      </c>
      <c r="D18" s="21" t="n"/>
      <c r="E18" s="5">
        <f>IF(A18="","",C18&amp;IF(D18&lt;&gt;""," – "&amp;D18,""))</f>
        <v/>
      </c>
      <c r="F18" s="21" t="inlineStr">
        <is>
          <t>Ikke besøkt</t>
        </is>
      </c>
      <c r="G18" s="21" t="inlineStr">
        <is>
          <t>By / long stay</t>
        </is>
      </c>
      <c r="H18" s="21" t="n"/>
      <c r="I18" s="5">
        <f>IF(A18="","",IF(COUNTIF(Måned!$A$5:$A$2000,A18)&gt;0,"Ja",""))</f>
        <v/>
      </c>
      <c r="J18" s="21" t="n"/>
      <c r="K18" s="21" t="inlineStr">
        <is>
          <t>Singapore (Paya Lebar), NEA 1991–2020, via Wikipedia</t>
        </is>
      </c>
    </row>
    <row r="19">
      <c r="A19" s="21" t="inlineStr">
        <is>
          <t>PHL</t>
        </is>
      </c>
      <c r="B19" s="21" t="inlineStr">
        <is>
          <t>Asia, Oseania og Midt-Østen</t>
        </is>
      </c>
      <c r="C19" s="21" t="inlineStr">
        <is>
          <t>Filippinene</t>
        </is>
      </c>
      <c r="D19" s="21" t="n"/>
      <c r="E19" s="5">
        <f>IF(A19="","",C19&amp;IF(D19&lt;&gt;""," – "&amp;D19,""))</f>
        <v/>
      </c>
      <c r="F19" s="21" t="inlineStr">
        <is>
          <t>Ikke besøkt</t>
        </is>
      </c>
      <c r="G19" s="21" t="inlineStr">
        <is>
          <t>Strand / øyhopping</t>
        </is>
      </c>
      <c r="H19" s="21" t="n"/>
      <c r="I19" s="5">
        <f>IF(A19="","",IF(COUNTIF(Måned!$A$5:$A$2000,A19)&gt;0,"Ja",""))</f>
        <v/>
      </c>
      <c r="J19" s="21" t="inlineStr">
        <is>
          <t>Klima satt for Palawan (El Nido/Coron). Andre øygrupper kan ha annen sesong</t>
        </is>
      </c>
      <c r="K19" s="21" t="inlineStr">
        <is>
          <t>Puerto Princesa (Palawan), PAGASA 1991–2020, via Wikipedia. Luzon/Visayas har mer tyfoner</t>
        </is>
      </c>
    </row>
    <row r="20">
      <c r="A20" s="21" t="inlineStr">
        <is>
          <t>PNG</t>
        </is>
      </c>
      <c r="B20" s="21" t="inlineStr">
        <is>
          <t>Asia, Oseania og Midt-Østen</t>
        </is>
      </c>
      <c r="C20" s="21" t="inlineStr">
        <is>
          <t>Papua Ny-Guinea</t>
        </is>
      </c>
      <c r="D20" s="21" t="n"/>
      <c r="E20" s="5">
        <f>IF(A20="","",C20&amp;IF(D20&lt;&gt;""," – "&amp;D20,""))</f>
        <v/>
      </c>
      <c r="F20" s="21" t="inlineStr">
        <is>
          <t>Ikke besøkt</t>
        </is>
      </c>
      <c r="G20" s="21" t="inlineStr">
        <is>
          <t>Kultur / ekspedisjon</t>
        </is>
      </c>
      <c r="H20" s="21" t="n"/>
      <c r="I20" s="5">
        <f>IF(A20="","",IF(COUNTIF(Måned!$A$5:$A$2000,A20)&gt;0,"Ja",""))</f>
        <v/>
      </c>
      <c r="J20" s="21" t="inlineStr">
        <is>
          <t>Sikkerhet: høy kriminalitet i Port Moresby – organisert tur anbefales</t>
        </is>
      </c>
      <c r="K20" s="21" t="inlineStr">
        <is>
          <t>Port Moresby, WMO/DWD 1961–1990, via Wikipedia. Høylandet: kjøligere og regn hele året</t>
        </is>
      </c>
    </row>
    <row r="21">
      <c r="A21" s="21" t="inlineStr">
        <is>
          <t>TLS</t>
        </is>
      </c>
      <c r="B21" s="21" t="inlineStr">
        <is>
          <t>Asia, Oseania og Midt-Østen</t>
        </is>
      </c>
      <c r="C21" s="21" t="inlineStr">
        <is>
          <t>Øst-Timor</t>
        </is>
      </c>
      <c r="D21" s="21" t="n"/>
      <c r="E21" s="5">
        <f>IF(A21="","",C21&amp;IF(D21&lt;&gt;""," – "&amp;D21,""))</f>
        <v/>
      </c>
      <c r="F21" s="21" t="inlineStr">
        <is>
          <t>Ikke besøkt</t>
        </is>
      </c>
      <c r="G21" s="21" t="inlineStr">
        <is>
          <t>Natur / dykking</t>
        </is>
      </c>
      <c r="H21" s="21" t="n"/>
      <c r="I21" s="5">
        <f>IF(A21="","",IF(COUNTIF(Måned!$A$5:$A$2000,A21)&gt;0,"Ja",""))</f>
        <v/>
      </c>
      <c r="J21" s="21" t="n"/>
      <c r="K21" s="21" t="inlineStr">
        <is>
          <t>Dili, DWD 1914–1963, via Wikipedia (gammel serie)</t>
        </is>
      </c>
    </row>
    <row r="22">
      <c r="A22" s="21" t="inlineStr">
        <is>
          <t>LBN</t>
        </is>
      </c>
      <c r="B22" s="21" t="inlineStr">
        <is>
          <t>Asia, Oseania og Midt-Østen</t>
        </is>
      </c>
      <c r="C22" s="21" t="inlineStr">
        <is>
          <t>Libanon</t>
        </is>
      </c>
      <c r="D22" s="21" t="n"/>
      <c r="E22" s="5">
        <f>IF(A22="","",C22&amp;IF(D22&lt;&gt;""," – "&amp;D22,""))</f>
        <v/>
      </c>
      <c r="F22" s="21" t="inlineStr">
        <is>
          <t>Ikke besøkt</t>
        </is>
      </c>
      <c r="G22" s="21" t="inlineStr">
        <is>
          <t>By / kultur / mat</t>
        </is>
      </c>
      <c r="H22" s="21" t="n"/>
      <c r="I22" s="5">
        <f>IF(A22="","",IF(COUNTIF(Måned!$A$5:$A$2000,A22)&gt;0,"Ja",""))</f>
        <v/>
      </c>
      <c r="J22" s="21" t="inlineStr">
        <is>
          <t>Sikkerhet: sjekk UDs reiseråd</t>
        </is>
      </c>
      <c r="K22" s="21" t="inlineStr">
        <is>
          <t>Beirut lufthavn, via Wikipedia (periode ikke oppgitt)</t>
        </is>
      </c>
    </row>
    <row r="23">
      <c r="A23" s="21" t="inlineStr">
        <is>
          <t>USA-WC</t>
        </is>
      </c>
      <c r="B23" s="21" t="inlineStr">
        <is>
          <t>Nord-Amerika</t>
        </is>
      </c>
      <c r="C23" s="21" t="inlineStr">
        <is>
          <t>USA Nordvestkyst</t>
        </is>
      </c>
      <c r="D23" s="21" t="inlineStr">
        <is>
          <t>San Francisco til Vancouver</t>
        </is>
      </c>
      <c r="E23" s="5">
        <f>IF(A23="","",C23&amp;IF(D23&lt;&gt;""," – "&amp;D23,""))</f>
        <v/>
      </c>
      <c r="F23" s="21" t="inlineStr">
        <is>
          <t>Ikke besøkt</t>
        </is>
      </c>
      <c r="G23" s="21" t="inlineStr">
        <is>
          <t>Roadtrip / natur</t>
        </is>
      </c>
      <c r="H23" s="21" t="n"/>
      <c r="I23" s="5">
        <f>IF(A23="","",IF(COUNTIF(Måned!$A$5:$A$2000,A23)&gt;0,"Ja",""))</f>
        <v/>
      </c>
      <c r="J23" s="21" t="inlineStr">
        <is>
          <t>Klima satt for nordenden (Vancouver) – begrensende for regn</t>
        </is>
      </c>
      <c r="K23" s="21" t="inlineStr">
        <is>
          <t>Vancouver lufthavn, ECCC 1991–2010, via Wikipedia. San Francisco sentrum (NOAA 1991–2020): mildt, tørt mai–okt</t>
        </is>
      </c>
    </row>
    <row r="24">
      <c r="A24" s="21" t="inlineStr">
        <is>
          <t>USA-HI</t>
        </is>
      </c>
      <c r="B24" s="21" t="inlineStr">
        <is>
          <t>Nord-Amerika</t>
        </is>
      </c>
      <c r="C24" s="21" t="inlineStr">
        <is>
          <t>Hawaii</t>
        </is>
      </c>
      <c r="D24" s="21" t="n"/>
      <c r="E24" s="5">
        <f>IF(A24="","",C24&amp;IF(D24&lt;&gt;""," – "&amp;D24,""))</f>
        <v/>
      </c>
      <c r="F24" s="21" t="inlineStr">
        <is>
          <t>Ikke besøkt</t>
        </is>
      </c>
      <c r="G24" s="21" t="inlineStr">
        <is>
          <t>Strand / natur</t>
        </is>
      </c>
      <c r="H24" s="21" t="n"/>
      <c r="I24" s="5">
        <f>IF(A24="","",IF(COUNTIF(Måned!$A$5:$A$2000,A24)&gt;0,"Ja",""))</f>
        <v/>
      </c>
      <c r="J24" s="21" t="n"/>
      <c r="K24" s="21" t="inlineStr">
        <is>
          <t>Honolulu lufthavn, NOAA 1991–2020, via Wikipedia</t>
        </is>
      </c>
    </row>
    <row r="25">
      <c r="A25" s="21" t="inlineStr">
        <is>
          <t>USA-CHS</t>
        </is>
      </c>
      <c r="B25" s="21" t="inlineStr">
        <is>
          <t>Nord-Amerika</t>
        </is>
      </c>
      <c r="C25" s="21" t="inlineStr">
        <is>
          <t>USA</t>
        </is>
      </c>
      <c r="D25" s="21" t="inlineStr">
        <is>
          <t>Savannah-Charleston</t>
        </is>
      </c>
      <c r="E25" s="5">
        <f>IF(A25="","",C25&amp;IF(D25&lt;&gt;""," – "&amp;D25,""))</f>
        <v/>
      </c>
      <c r="F25" s="21" t="inlineStr">
        <is>
          <t>Ikke besøkt</t>
        </is>
      </c>
      <c r="G25" s="21" t="inlineStr">
        <is>
          <t>By / mat</t>
        </is>
      </c>
      <c r="H25" s="21" t="n"/>
      <c r="I25" s="5">
        <f>IF(A25="","",IF(COUNTIF(Måned!$A$5:$A$2000,A25)&gt;0,"Ja",""))</f>
        <v/>
      </c>
      <c r="J25" s="21" t="n"/>
      <c r="K25" s="21" t="inlineStr">
        <is>
          <t>Snitt av Charleston lufthavn (SC) og Savannah/Hilton Head lufthavn (GA), NOAA 1991–2020, via Wikipedia. Gjelder Lowcountry-kysten generelt</t>
        </is>
      </c>
    </row>
    <row r="26">
      <c r="A26" s="21" t="inlineStr">
        <is>
          <t>CRI</t>
        </is>
      </c>
      <c r="B26" s="21" t="inlineStr">
        <is>
          <t>Sør- og Mellom-Amerika</t>
        </is>
      </c>
      <c r="C26" s="21" t="inlineStr">
        <is>
          <t>Costa Rica</t>
        </is>
      </c>
      <c r="D26" s="21" t="n"/>
      <c r="E26" s="5">
        <f>IF(A26="","",C26&amp;IF(D26&lt;&gt;""," – "&amp;D26,""))</f>
        <v/>
      </c>
      <c r="F26" s="21" t="inlineStr">
        <is>
          <t>Ikke besøkt</t>
        </is>
      </c>
      <c r="G26" s="21" t="inlineStr">
        <is>
          <t>Natur / strand</t>
        </is>
      </c>
      <c r="H26" s="21" t="n"/>
      <c r="I26" s="5">
        <f>IF(A26="","",IF(COUNTIF(Måned!$A$5:$A$2000,A26)&gt;0,"Ja",""))</f>
        <v/>
      </c>
      <c r="J26" s="21" t="n"/>
      <c r="K26" s="21" t="inlineStr">
        <is>
          <t>Liberia (Guanacaste), IMN 1957–2013, via Wikipedia. Karibia-siden har omvendt mønster sep–okt</t>
        </is>
      </c>
    </row>
    <row r="27">
      <c r="A27" s="21" t="inlineStr">
        <is>
          <t>PAN</t>
        </is>
      </c>
      <c r="B27" s="21" t="inlineStr">
        <is>
          <t>Sør- og Mellom-Amerika</t>
        </is>
      </c>
      <c r="C27" s="21" t="inlineStr">
        <is>
          <t>Panama</t>
        </is>
      </c>
      <c r="D27" s="21" t="n"/>
      <c r="E27" s="5">
        <f>IF(A27="","",C27&amp;IF(D27&lt;&gt;""," – "&amp;D27,""))</f>
        <v/>
      </c>
      <c r="F27" s="21" t="inlineStr">
        <is>
          <t>Ikke besøkt</t>
        </is>
      </c>
      <c r="G27" s="21" t="inlineStr">
        <is>
          <t>By / strand</t>
        </is>
      </c>
      <c r="H27" s="21" t="n"/>
      <c r="I27" s="5">
        <f>IF(A27="","",IF(COUNTIF(Måned!$A$5:$A$2000,A27)&gt;0,"Ja",""))</f>
        <v/>
      </c>
      <c r="J27" s="21" t="n"/>
      <c r="K27" s="21" t="inlineStr">
        <is>
          <t>Panama City (Tocumen), WMO 1991–2020, via Wikipedia</t>
        </is>
      </c>
    </row>
    <row r="28">
      <c r="A28" s="21" t="inlineStr">
        <is>
          <t>COL</t>
        </is>
      </c>
      <c r="B28" s="21" t="inlineStr">
        <is>
          <t>Sør- og Mellom-Amerika</t>
        </is>
      </c>
      <c r="C28" s="21" t="inlineStr">
        <is>
          <t>Colombia</t>
        </is>
      </c>
      <c r="D28" s="21" t="n"/>
      <c r="E28" s="5">
        <f>IF(A28="","",C28&amp;IF(D28&lt;&gt;""," – "&amp;D28,""))</f>
        <v/>
      </c>
      <c r="F28" s="21" t="inlineStr">
        <is>
          <t>Ikke besøkt</t>
        </is>
      </c>
      <c r="G28" s="21" t="inlineStr">
        <is>
          <t>By / kultur / strand</t>
        </is>
      </c>
      <c r="H28" s="21" t="n"/>
      <c r="I28" s="5">
        <f>IF(A28="","",IF(COUNTIF(Måned!$A$5:$A$2000,A28)&gt;0,"Ja",""))</f>
        <v/>
      </c>
      <c r="J28" s="21" t="n"/>
      <c r="K28" s="21" t="inlineStr">
        <is>
          <t>Cartagena lufthavn, IDEAM 1991–2020, via Wikipedia. Andes (Bogotá/Medellín): mildt, regn apr–mai og okt–nov</t>
        </is>
      </c>
    </row>
    <row r="29">
      <c r="A29" s="21" t="inlineStr">
        <is>
          <t>DOM</t>
        </is>
      </c>
      <c r="B29" s="21" t="inlineStr">
        <is>
          <t>Sør- og Mellom-Amerika</t>
        </is>
      </c>
      <c r="C29" s="21" t="inlineStr">
        <is>
          <t>Den dominikanske republikk</t>
        </is>
      </c>
      <c r="D29" s="21" t="n"/>
      <c r="E29" s="5">
        <f>IF(A29="","",C29&amp;IF(D29&lt;&gt;""," – "&amp;D29,""))</f>
        <v/>
      </c>
      <c r="F29" s="21" t="inlineStr">
        <is>
          <t>Ikke besøkt</t>
        </is>
      </c>
      <c r="G29" s="21" t="inlineStr">
        <is>
          <t>Strand / hval</t>
        </is>
      </c>
      <c r="H29" s="21" t="n"/>
      <c r="I29" s="5">
        <f>IF(A29="","",IF(COUNTIF(Måned!$A$5:$A$2000,A29)&gt;0,"Ja",""))</f>
        <v/>
      </c>
      <c r="J29" s="21" t="n"/>
      <c r="K29" s="21" t="inlineStr">
        <is>
          <t>Santo Domingo, NOAA 1991–2020, via Wikipedia</t>
        </is>
      </c>
    </row>
    <row r="30">
      <c r="A30" s="21" t="inlineStr">
        <is>
          <t>BRA-NE</t>
        </is>
      </c>
      <c r="B30" s="21" t="inlineStr">
        <is>
          <t>Sør- og Mellom-Amerika</t>
        </is>
      </c>
      <c r="C30" s="21" t="inlineStr">
        <is>
          <t>Brasil</t>
        </is>
      </c>
      <c r="D30" s="21" t="inlineStr">
        <is>
          <t>Rio og nordover</t>
        </is>
      </c>
      <c r="E30" s="5">
        <f>IF(A30="","",C30&amp;IF(D30&lt;&gt;""," – "&amp;D30,""))</f>
        <v/>
      </c>
      <c r="F30" s="21" t="inlineStr">
        <is>
          <t>Ikke besøkt</t>
        </is>
      </c>
      <c r="G30" s="21" t="inlineStr">
        <is>
          <t>By / strand</t>
        </is>
      </c>
      <c r="H30" s="21" t="n"/>
      <c r="I30" s="5">
        <f>IF(A30="","",IF(COUNTIF(Måned!$A$5:$A$2000,A30)&gt;0,"Ja",""))</f>
        <v/>
      </c>
      <c r="J30" s="21" t="n"/>
      <c r="K30" s="21" t="inlineStr">
        <is>
          <t>Rio de Janeiro (Saúde), INMET 1981–2010, via Wikipedia. Salvador (INMET 1991–2020): regntid apr–jul</t>
        </is>
      </c>
    </row>
    <row r="31">
      <c r="A31" s="21" t="inlineStr">
        <is>
          <t>ECU-GAL</t>
        </is>
      </c>
      <c r="B31" s="21" t="inlineStr">
        <is>
          <t>Sør- og Mellom-Amerika</t>
        </is>
      </c>
      <c r="C31" s="21" t="inlineStr">
        <is>
          <t>Ecuador</t>
        </is>
      </c>
      <c r="D31" s="21" t="inlineStr">
        <is>
          <t>Galápagos</t>
        </is>
      </c>
      <c r="E31" s="5">
        <f>IF(A31="","",C31&amp;IF(D31&lt;&gt;""," – "&amp;D31,""))</f>
        <v/>
      </c>
      <c r="F31" s="21" t="inlineStr">
        <is>
          <t>Ikke besøkt</t>
        </is>
      </c>
      <c r="G31" s="21" t="inlineStr">
        <is>
          <t>Natur / dyreliv</t>
        </is>
      </c>
      <c r="H31" s="21" t="n"/>
      <c r="I31" s="5">
        <f>IF(A31="","",IF(COUNTIF(Måned!$A$5:$A$2000,A31)&gt;0,"Ja",""))</f>
        <v/>
      </c>
      <c r="J31" s="21" t="n"/>
      <c r="K31" s="21" t="inlineStr">
        <is>
          <t>San Cristóbal, WMO/DWD 1961–1990, via Wikipedia</t>
        </is>
      </c>
    </row>
    <row r="32">
      <c r="A32" s="21" t="inlineStr">
        <is>
          <t>ATA</t>
        </is>
      </c>
      <c r="B32" s="21" t="inlineStr">
        <is>
          <t>Sør- og Mellom-Amerika</t>
        </is>
      </c>
      <c r="C32" s="21" t="inlineStr">
        <is>
          <t>Antarktis</t>
        </is>
      </c>
      <c r="D32" s="21" t="inlineStr">
        <is>
          <t>Antarktishalvøya (via Ushuaia)</t>
        </is>
      </c>
      <c r="E32" s="5">
        <f>IF(A32="","",C32&amp;IF(D32&lt;&gt;""," – "&amp;D32,""))</f>
        <v/>
      </c>
      <c r="F32" s="21" t="inlineStr">
        <is>
          <t>Ikke besøkt</t>
        </is>
      </c>
      <c r="G32" s="21" t="inlineStr">
        <is>
          <t>Natur / ekspedisjon</t>
        </is>
      </c>
      <c r="H32" s="21" t="n">
        <v>11</v>
      </c>
      <c r="I32" s="5">
        <f>IF(A32="","",IF(COUNTIF(Måned!$A$5:$A$2000,A32)&gt;0,"Ja",""))</f>
        <v/>
      </c>
      <c r="J32" s="21" t="inlineStr">
        <is>
          <t>Kun ekspedisjonscruise nov–mars</t>
        </is>
      </c>
      <c r="K32" s="21" t="inlineStr">
        <is>
          <t>Esperanza-basen (Antarktishalvøya), SMN 1991–2020, via Wikipedia. Nedbør mest snø</t>
        </is>
      </c>
    </row>
    <row r="33">
      <c r="A33" s="21" t="inlineStr">
        <is>
          <t>MEX-CDMX</t>
        </is>
      </c>
      <c r="B33" s="21" t="inlineStr">
        <is>
          <t>Sør- og Mellom-Amerika</t>
        </is>
      </c>
      <c r="C33" s="21" t="inlineStr">
        <is>
          <t>Mexico City</t>
        </is>
      </c>
      <c r="D33" s="21" t="n"/>
      <c r="E33" s="5">
        <f>IF(A33="","",C33&amp;IF(D33&lt;&gt;""," – "&amp;D33,""))</f>
        <v/>
      </c>
      <c r="F33" s="21" t="inlineStr">
        <is>
          <t>Ikke besøkt</t>
        </is>
      </c>
      <c r="G33" s="21" t="inlineStr">
        <is>
          <t>By / kultur / mat</t>
        </is>
      </c>
      <c r="H33" s="21" t="n"/>
      <c r="I33" s="5">
        <f>IF(A33="","",IF(COUNTIF(Måned!$A$5:$A$2000,A33)&gt;0,"Ja",""))</f>
        <v/>
      </c>
      <c r="J33" s="21" t="n"/>
      <c r="K33" s="21" t="inlineStr">
        <is>
          <t>Mexico City (Tacubaya), SMN 1991–2020, via Wikipedia</t>
        </is>
      </c>
    </row>
    <row r="34">
      <c r="A34" s="21" t="inlineStr">
        <is>
          <t>RWA</t>
        </is>
      </c>
      <c r="B34" s="21" t="inlineStr">
        <is>
          <t>Afrika</t>
        </is>
      </c>
      <c r="C34" s="21" t="inlineStr">
        <is>
          <t>Rwanda</t>
        </is>
      </c>
      <c r="D34" s="21" t="n"/>
      <c r="E34" s="5">
        <f>IF(A34="","",C34&amp;IF(D34&lt;&gt;""," – "&amp;D34,""))</f>
        <v/>
      </c>
      <c r="F34" s="21" t="inlineStr">
        <is>
          <t>Ikke besøkt</t>
        </is>
      </c>
      <c r="G34" s="21" t="inlineStr">
        <is>
          <t>Natur / gorilla</t>
        </is>
      </c>
      <c r="H34" s="21" t="n"/>
      <c r="I34" s="5">
        <f>IF(A34="","",IF(COUNTIF(Måned!$A$5:$A$2000,A34)&gt;0,"Ja",""))</f>
        <v/>
      </c>
      <c r="J34" s="21" t="n"/>
      <c r="K34" s="21" t="inlineStr">
        <is>
          <t>Kigali lufthavn, NOAA 1991–2020, via Wikipedia. Vulkanområdet (gorillaer) er kjøligere og våtere</t>
        </is>
      </c>
    </row>
    <row r="35">
      <c r="A35" s="21" t="inlineStr">
        <is>
          <t>GAB</t>
        </is>
      </c>
      <c r="B35" s="21" t="inlineStr">
        <is>
          <t>Afrika</t>
        </is>
      </c>
      <c r="C35" s="21" t="inlineStr">
        <is>
          <t>Gabon</t>
        </is>
      </c>
      <c r="D35" s="21" t="n"/>
      <c r="E35" s="5">
        <f>IF(A35="","",C35&amp;IF(D35&lt;&gt;""," – "&amp;D35,""))</f>
        <v/>
      </c>
      <c r="F35" s="21" t="inlineStr">
        <is>
          <t>Ikke besøkt</t>
        </is>
      </c>
      <c r="G35" s="21" t="inlineStr">
        <is>
          <t>Natur / dyreliv</t>
        </is>
      </c>
      <c r="H35" s="21" t="n"/>
      <c r="I35" s="5">
        <f>IF(A35="","",IF(COUNTIF(Måned!$A$5:$A$2000,A35)&gt;0,"Ja",""))</f>
        <v/>
      </c>
      <c r="J35" s="21" t="n"/>
      <c r="K35" s="21" t="inlineStr">
        <is>
          <t>Libreville, NOAA 1991–2020, via Wikipedia. Loango har samme sesongmønster</t>
        </is>
      </c>
    </row>
    <row r="36">
      <c r="A36" s="21" t="inlineStr">
        <is>
          <t>GHA</t>
        </is>
      </c>
      <c r="B36" s="21" t="inlineStr">
        <is>
          <t>Afrika</t>
        </is>
      </c>
      <c r="C36" s="21" t="inlineStr">
        <is>
          <t>Ghana</t>
        </is>
      </c>
      <c r="D36" s="21" t="n"/>
      <c r="E36" s="5">
        <f>IF(A36="","",C36&amp;IF(D36&lt;&gt;""," – "&amp;D36,""))</f>
        <v/>
      </c>
      <c r="F36" s="21" t="inlineStr">
        <is>
          <t>Ikke besøkt</t>
        </is>
      </c>
      <c r="G36" s="21" t="inlineStr">
        <is>
          <t>Kultur</t>
        </is>
      </c>
      <c r="H36" s="21" t="n"/>
      <c r="I36" s="5">
        <f>IF(A36="","",IF(COUNTIF(Måned!$A$5:$A$2000,A36)&gt;0,"Ja",""))</f>
        <v/>
      </c>
      <c r="J36" s="21" t="n"/>
      <c r="K36" s="21" t="inlineStr">
        <is>
          <t>Accra lufthavn, NOAA 1991–2020, via Wikipedia</t>
        </is>
      </c>
    </row>
    <row r="37">
      <c r="A37" s="21" t="inlineStr">
        <is>
          <t>ETH</t>
        </is>
      </c>
      <c r="B37" s="21" t="inlineStr">
        <is>
          <t>Afrika</t>
        </is>
      </c>
      <c r="C37" s="21" t="inlineStr">
        <is>
          <t>Etiopia</t>
        </is>
      </c>
      <c r="D37" s="21" t="n"/>
      <c r="E37" s="5">
        <f>IF(A37="","",C37&amp;IF(D37&lt;&gt;""," – "&amp;D37,""))</f>
        <v/>
      </c>
      <c r="F37" s="21" t="inlineStr">
        <is>
          <t>Ikke besøkt</t>
        </is>
      </c>
      <c r="G37" s="21" t="inlineStr">
        <is>
          <t>Kultur / historie</t>
        </is>
      </c>
      <c r="H37" s="21" t="n"/>
      <c r="I37" s="5">
        <f>IF(A37="","",IF(COUNTIF(Måned!$A$5:$A$2000,A37)&gt;0,"Ja",""))</f>
        <v/>
      </c>
      <c r="J37" s="21" t="inlineStr">
        <is>
          <t>Sikkerhet: konflikt i Amhara (Lalibela, Gondar) – sjekk UDs reiseråd</t>
        </is>
      </c>
      <c r="K37" s="21" t="inlineStr">
        <is>
          <t>Addis Abeba, EMI 1991–2020, via Wikipedia. Lalibela/Gondar: samme sesongmønster</t>
        </is>
      </c>
    </row>
    <row r="38">
      <c r="A38" s="21" t="inlineStr">
        <is>
          <t>BWA</t>
        </is>
      </c>
      <c r="B38" s="21" t="inlineStr">
        <is>
          <t>Afrika</t>
        </is>
      </c>
      <c r="C38" s="21" t="inlineStr">
        <is>
          <t>Botswana</t>
        </is>
      </c>
      <c r="D38" s="21" t="inlineStr">
        <is>
          <t>Okavango, Chobe</t>
        </is>
      </c>
      <c r="E38" s="5">
        <f>IF(A38="","",C38&amp;IF(D38&lt;&gt;""," – "&amp;D38,""))</f>
        <v/>
      </c>
      <c r="F38" s="21" t="inlineStr">
        <is>
          <t>Ikke besøkt</t>
        </is>
      </c>
      <c r="G38" s="21" t="inlineStr">
        <is>
          <t>Safari</t>
        </is>
      </c>
      <c r="H38" s="21" t="n">
        <v>10</v>
      </c>
      <c r="I38" s="5">
        <f>IF(A38="","",IF(COUNTIF(Måned!$A$5:$A$2000,A38)&gt;0,"Ja",""))</f>
        <v/>
      </c>
      <c r="J38" s="21" t="inlineStr">
        <is>
          <t>Evt. kombinert med Zambia/Zimbabwe (Victoria Falls)</t>
        </is>
      </c>
      <c r="K38" s="21" t="inlineStr">
        <is>
          <t>Maun, DWD 1961–1990, via Wikipedia</t>
        </is>
      </c>
    </row>
    <row r="39">
      <c r="A39" s="21" t="inlineStr">
        <is>
          <t>ZMB</t>
        </is>
      </c>
      <c r="B39" s="21" t="inlineStr">
        <is>
          <t>Afrika</t>
        </is>
      </c>
      <c r="C39" s="21" t="inlineStr">
        <is>
          <t>Zambia</t>
        </is>
      </c>
      <c r="D39" s="21" t="n"/>
      <c r="E39" s="5">
        <f>IF(A39="","",C39&amp;IF(D39&lt;&gt;""," – "&amp;D39,""))</f>
        <v/>
      </c>
      <c r="F39" s="21" t="inlineStr">
        <is>
          <t>Ikke besøkt</t>
        </is>
      </c>
      <c r="G39" s="21" t="inlineStr">
        <is>
          <t>Safari</t>
        </is>
      </c>
      <c r="H39" s="21" t="n"/>
      <c r="I39" s="5">
        <f>IF(A39="","",IF(COUNTIF(Måned!$A$5:$A$2000,A39)&gt;0,"Ja",""))</f>
        <v/>
      </c>
      <c r="J39" s="21" t="inlineStr">
        <is>
          <t>Evt. kombinert med Botswana/Zimbabwe (Victoria Falls)</t>
        </is>
      </c>
      <c r="K39" s="21" t="inlineStr">
        <is>
          <t>Livingstone, NOAA 1991–2020, via Wikipedia. South Luangwa: samme mønster, noe hetere okt</t>
        </is>
      </c>
    </row>
    <row r="40">
      <c r="A40" s="21" t="inlineStr">
        <is>
          <t>ZWE</t>
        </is>
      </c>
      <c r="B40" s="21" t="inlineStr">
        <is>
          <t>Afrika</t>
        </is>
      </c>
      <c r="C40" s="21" t="inlineStr">
        <is>
          <t>Zimbabwe</t>
        </is>
      </c>
      <c r="D40" s="21" t="n"/>
      <c r="E40" s="5">
        <f>IF(A40="","",C40&amp;IF(D40&lt;&gt;""," – "&amp;D40,""))</f>
        <v/>
      </c>
      <c r="F40" s="21" t="inlineStr">
        <is>
          <t>Ikke besøkt</t>
        </is>
      </c>
      <c r="G40" s="21" t="inlineStr">
        <is>
          <t>Safari</t>
        </is>
      </c>
      <c r="H40" s="21" t="n"/>
      <c r="I40" s="5">
        <f>IF(A40="","",IF(COUNTIF(Måned!$A$5:$A$2000,A40)&gt;0,"Ja",""))</f>
        <v/>
      </c>
      <c r="J40" s="21" t="inlineStr">
        <is>
          <t>Evt. kombinert med Botswana/Zambia (Victoria Falls)</t>
        </is>
      </c>
      <c r="K40" s="21" t="inlineStr">
        <is>
          <t>Hwange, WMO 1961–1990, via Wikipedia</t>
        </is>
      </c>
    </row>
    <row r="41">
      <c r="A41" s="21" t="inlineStr">
        <is>
          <t>STP</t>
        </is>
      </c>
      <c r="B41" s="21" t="inlineStr">
        <is>
          <t>Afrika</t>
        </is>
      </c>
      <c r="C41" s="21" t="inlineStr">
        <is>
          <t>São Tomé og Príncipe</t>
        </is>
      </c>
      <c r="D41" s="21" t="n"/>
      <c r="E41" s="5">
        <f>IF(A41="","",C41&amp;IF(D41&lt;&gt;""," – "&amp;D41,""))</f>
        <v/>
      </c>
      <c r="F41" s="21" t="inlineStr">
        <is>
          <t>Ikke besøkt</t>
        </is>
      </c>
      <c r="G41" s="21" t="inlineStr">
        <is>
          <t>Natur / strand</t>
        </is>
      </c>
      <c r="H41" s="21" t="n"/>
      <c r="I41" s="5">
        <f>IF(A41="","",IF(COUNTIF(Måned!$A$5:$A$2000,A41)&gt;0,"Ja",""))</f>
        <v/>
      </c>
      <c r="J41" s="21" t="n"/>
      <c r="K41" s="21" t="inlineStr">
        <is>
          <t>São Tomé lufthavn, DWD 1961–1990, via Wikipedia</t>
        </is>
      </c>
    </row>
    <row r="42">
      <c r="A42" s="21" t="inlineStr">
        <is>
          <t>EGY</t>
        </is>
      </c>
      <c r="B42" s="21" t="inlineStr">
        <is>
          <t>Afrika</t>
        </is>
      </c>
      <c r="C42" s="21" t="inlineStr">
        <is>
          <t>Egypt</t>
        </is>
      </c>
      <c r="D42" s="21" t="inlineStr">
        <is>
          <t>Kairo, Luxor</t>
        </is>
      </c>
      <c r="E42" s="5">
        <f>IF(A42="","",C42&amp;IF(D42&lt;&gt;""," – "&amp;D42,""))</f>
        <v/>
      </c>
      <c r="F42" s="21" t="inlineStr">
        <is>
          <t>Ikke besøkt</t>
        </is>
      </c>
      <c r="G42" s="21" t="inlineStr">
        <is>
          <t>Historie / kultur</t>
        </is>
      </c>
      <c r="H42" s="21" t="n"/>
      <c r="I42" s="5">
        <f>IF(A42="","",IF(COUNTIF(Måned!$A$5:$A$2000,A42)&gt;0,"Ja",""))</f>
        <v/>
      </c>
      <c r="J42" s="21" t="n"/>
      <c r="K42" s="21" t="inlineStr">
        <is>
          <t>Luxor lufthavn, WMO 1991–2020, via Wikipedia. Kairo ca. 4–6 °C kjøligere</t>
        </is>
      </c>
    </row>
    <row r="43">
      <c r="A43" s="21" t="inlineStr">
        <is>
          <t>BEN</t>
        </is>
      </c>
      <c r="B43" s="21" t="inlineStr">
        <is>
          <t>Afrika</t>
        </is>
      </c>
      <c r="C43" s="21" t="inlineStr">
        <is>
          <t>Benin</t>
        </is>
      </c>
      <c r="D43" s="21" t="n"/>
      <c r="E43" s="5">
        <f>IF(A43="","",C43&amp;IF(D43&lt;&gt;""," – "&amp;D43,""))</f>
        <v/>
      </c>
      <c r="F43" s="21" t="inlineStr">
        <is>
          <t>Ikke besøkt</t>
        </is>
      </c>
      <c r="G43" s="21" t="inlineStr">
        <is>
          <t>Kultur</t>
        </is>
      </c>
      <c r="H43" s="21" t="n"/>
      <c r="I43" s="5">
        <f>IF(A43="","",IF(COUNTIF(Måned!$A$5:$A$2000,A43)&gt;0,"Ja",""))</f>
        <v/>
      </c>
      <c r="J43" s="21" t="inlineStr">
        <is>
          <t>Sikkerhet: nordlige områder (inkl. deler av Pendjari) frarådes – sjekk UDs reiseråd</t>
        </is>
      </c>
      <c r="K43" s="21" t="inlineStr">
        <is>
          <t>Cotonou, NOAA 1991–2020, via Wikipedia</t>
        </is>
      </c>
    </row>
    <row r="44">
      <c r="A44" s="21" t="inlineStr">
        <is>
          <t>TGO</t>
        </is>
      </c>
      <c r="B44" s="21" t="inlineStr">
        <is>
          <t>Afrika</t>
        </is>
      </c>
      <c r="C44" s="21" t="inlineStr">
        <is>
          <t>Togo</t>
        </is>
      </c>
      <c r="D44" s="21" t="n"/>
      <c r="E44" s="5">
        <f>IF(A44="","",C44&amp;IF(D44&lt;&gt;""," – "&amp;D44,""))</f>
        <v/>
      </c>
      <c r="F44" s="21" t="inlineStr">
        <is>
          <t>Ikke besøkt</t>
        </is>
      </c>
      <c r="G44" s="21" t="inlineStr">
        <is>
          <t>Kultur</t>
        </is>
      </c>
      <c r="H44" s="21" t="n"/>
      <c r="I44" s="5">
        <f>IF(A44="","",IF(COUNTIF(Måned!$A$5:$A$2000,A44)&gt;0,"Ja",""))</f>
        <v/>
      </c>
      <c r="J44" s="21" t="inlineStr">
        <is>
          <t>Sikkerhet: nordlige grenseområder frarådes – sjekk UDs reiseråd</t>
        </is>
      </c>
      <c r="K44" s="21" t="inlineStr">
        <is>
          <t>Lomé lufthavn, NOAA 1991–2020, via Wikipedia</t>
        </is>
      </c>
    </row>
    <row r="45">
      <c r="A45" s="1" t="n"/>
      <c r="B45" s="1" t="n"/>
      <c r="C45" s="1" t="n"/>
      <c r="D45" s="1" t="n"/>
      <c r="E45" s="5">
        <f>IF(A45="","",C45&amp;IF(D45&lt;&gt;""," – "&amp;D45,""))</f>
        <v/>
      </c>
      <c r="F45" s="1" t="n"/>
      <c r="G45" s="1" t="n"/>
      <c r="H45" s="1" t="n"/>
      <c r="I45" s="5">
        <f>IF(A45="","",IF(COUNTIF(Måned!$A$5:$A$2000,A45)&gt;0,"Ja",""))</f>
        <v/>
      </c>
      <c r="J45" s="1" t="n"/>
      <c r="K45" s="1" t="n"/>
    </row>
    <row r="46">
      <c r="A46" s="1" t="n"/>
      <c r="B46" s="1" t="n"/>
      <c r="C46" s="1" t="n"/>
      <c r="D46" s="1" t="n"/>
      <c r="E46" s="5">
        <f>IF(A46="","",C46&amp;IF(D46&lt;&gt;""," – "&amp;D46,""))</f>
        <v/>
      </c>
      <c r="F46" s="1" t="n"/>
      <c r="G46" s="1" t="n"/>
      <c r="H46" s="1" t="n"/>
      <c r="I46" s="5">
        <f>IF(A46="","",IF(COUNTIF(Måned!$A$5:$A$2000,A46)&gt;0,"Ja",""))</f>
        <v/>
      </c>
      <c r="J46" s="1" t="n"/>
      <c r="K46" s="1" t="n"/>
    </row>
    <row r="47">
      <c r="A47" s="1" t="n"/>
      <c r="B47" s="1" t="n"/>
      <c r="C47" s="1" t="n"/>
      <c r="D47" s="1" t="n"/>
      <c r="E47" s="5">
        <f>IF(A47="","",C47&amp;IF(D47&lt;&gt;""," – "&amp;D47,""))</f>
        <v/>
      </c>
      <c r="F47" s="1" t="n"/>
      <c r="G47" s="1" t="n"/>
      <c r="H47" s="1" t="n"/>
      <c r="I47" s="5">
        <f>IF(A47="","",IF(COUNTIF(Måned!$A$5:$A$2000,A47)&gt;0,"Ja",""))</f>
        <v/>
      </c>
      <c r="J47" s="1" t="n"/>
      <c r="K47" s="1" t="n"/>
    </row>
    <row r="48">
      <c r="A48" s="1" t="n"/>
      <c r="B48" s="1" t="n"/>
      <c r="C48" s="1" t="n"/>
      <c r="D48" s="1" t="n"/>
      <c r="E48" s="5">
        <f>IF(A48="","",C48&amp;IF(D48&lt;&gt;""," – "&amp;D48,""))</f>
        <v/>
      </c>
      <c r="F48" s="1" t="n"/>
      <c r="G48" s="1" t="n"/>
      <c r="H48" s="1" t="n"/>
      <c r="I48" s="5">
        <f>IF(A48="","",IF(COUNTIF(Måned!$A$5:$A$2000,A48)&gt;0,"Ja",""))</f>
        <v/>
      </c>
      <c r="J48" s="1" t="n"/>
      <c r="K48" s="1" t="n"/>
    </row>
    <row r="49">
      <c r="A49" s="1" t="n"/>
      <c r="B49" s="1" t="n"/>
      <c r="C49" s="1" t="n"/>
      <c r="D49" s="1" t="n"/>
      <c r="E49" s="5">
        <f>IF(A49="","",C49&amp;IF(D49&lt;&gt;""," – "&amp;D49,""))</f>
        <v/>
      </c>
      <c r="F49" s="1" t="n"/>
      <c r="G49" s="1" t="n"/>
      <c r="H49" s="1" t="n"/>
      <c r="I49" s="5">
        <f>IF(A49="","",IF(COUNTIF(Måned!$A$5:$A$2000,A49)&gt;0,"Ja",""))</f>
        <v/>
      </c>
      <c r="J49" s="1" t="n"/>
      <c r="K49" s="1" t="n"/>
    </row>
    <row r="50">
      <c r="A50" s="1" t="n"/>
      <c r="B50" s="1" t="n"/>
      <c r="C50" s="1" t="n"/>
      <c r="D50" s="1" t="n"/>
      <c r="E50" s="5">
        <f>IF(A50="","",C50&amp;IF(D50&lt;&gt;""," – "&amp;D50,""))</f>
        <v/>
      </c>
      <c r="F50" s="1" t="n"/>
      <c r="G50" s="1" t="n"/>
      <c r="H50" s="1" t="n"/>
      <c r="I50" s="5">
        <f>IF(A50="","",IF(COUNTIF(Måned!$A$5:$A$2000,A50)&gt;0,"Ja",""))</f>
        <v/>
      </c>
      <c r="J50" s="1" t="n"/>
      <c r="K50" s="1" t="n"/>
    </row>
    <row r="51">
      <c r="A51" s="1" t="n"/>
      <c r="B51" s="1" t="n"/>
      <c r="C51" s="1" t="n"/>
      <c r="D51" s="1" t="n"/>
      <c r="E51" s="5">
        <f>IF(A51="","",C51&amp;IF(D51&lt;&gt;""," – "&amp;D51,""))</f>
        <v/>
      </c>
      <c r="F51" s="1" t="n"/>
      <c r="G51" s="1" t="n"/>
      <c r="H51" s="1" t="n"/>
      <c r="I51" s="5">
        <f>IF(A51="","",IF(COUNTIF(Måned!$A$5:$A$2000,A51)&gt;0,"Ja",""))</f>
        <v/>
      </c>
      <c r="J51" s="1" t="n"/>
      <c r="K51" s="1" t="n"/>
    </row>
    <row r="52">
      <c r="A52" s="1" t="n"/>
      <c r="B52" s="1" t="n"/>
      <c r="C52" s="1" t="n"/>
      <c r="D52" s="1" t="n"/>
      <c r="E52" s="5">
        <f>IF(A52="","",C52&amp;IF(D52&lt;&gt;""," – "&amp;D52,""))</f>
        <v/>
      </c>
      <c r="F52" s="1" t="n"/>
      <c r="G52" s="1" t="n"/>
      <c r="H52" s="1" t="n"/>
      <c r="I52" s="5">
        <f>IF(A52="","",IF(COUNTIF(Måned!$A$5:$A$2000,A52)&gt;0,"Ja",""))</f>
        <v/>
      </c>
      <c r="J52" s="1" t="n"/>
      <c r="K52" s="1" t="n"/>
    </row>
    <row r="53">
      <c r="A53" s="1" t="n"/>
      <c r="B53" s="1" t="n"/>
      <c r="C53" s="1" t="n"/>
      <c r="D53" s="1" t="n"/>
      <c r="E53" s="5">
        <f>IF(A53="","",C53&amp;IF(D53&lt;&gt;""," – "&amp;D53,""))</f>
        <v/>
      </c>
      <c r="F53" s="1" t="n"/>
      <c r="G53" s="1" t="n"/>
      <c r="H53" s="1" t="n"/>
      <c r="I53" s="5">
        <f>IF(A53="","",IF(COUNTIF(Måned!$A$5:$A$2000,A53)&gt;0,"Ja",""))</f>
        <v/>
      </c>
      <c r="J53" s="1" t="n"/>
      <c r="K53" s="1" t="n"/>
    </row>
    <row r="54">
      <c r="A54" s="1" t="n"/>
      <c r="B54" s="1" t="n"/>
      <c r="C54" s="1" t="n"/>
      <c r="D54" s="1" t="n"/>
      <c r="E54" s="5">
        <f>IF(A54="","",C54&amp;IF(D54&lt;&gt;""," – "&amp;D54,""))</f>
        <v/>
      </c>
      <c r="F54" s="1" t="n"/>
      <c r="G54" s="1" t="n"/>
      <c r="H54" s="1" t="n"/>
      <c r="I54" s="5">
        <f>IF(A54="","",IF(COUNTIF(Måned!$A$5:$A$2000,A54)&gt;0,"Ja",""))</f>
        <v/>
      </c>
      <c r="J54" s="1" t="n"/>
      <c r="K54" s="1" t="n"/>
    </row>
    <row r="55">
      <c r="A55" s="1" t="n"/>
      <c r="B55" s="1" t="n"/>
      <c r="C55" s="1" t="n"/>
      <c r="D55" s="1" t="n"/>
      <c r="E55" s="5">
        <f>IF(A55="","",C55&amp;IF(D55&lt;&gt;""," – "&amp;D55,""))</f>
        <v/>
      </c>
      <c r="F55" s="1" t="n"/>
      <c r="G55" s="1" t="n"/>
      <c r="H55" s="1" t="n"/>
      <c r="I55" s="5">
        <f>IF(A55="","",IF(COUNTIF(Måned!$A$5:$A$2000,A55)&gt;0,"Ja",""))</f>
        <v/>
      </c>
      <c r="J55" s="1" t="n"/>
      <c r="K55" s="1" t="n"/>
    </row>
    <row r="56">
      <c r="A56" s="1" t="n"/>
      <c r="B56" s="1" t="n"/>
      <c r="C56" s="1" t="n"/>
      <c r="D56" s="1" t="n"/>
      <c r="E56" s="5">
        <f>IF(A56="","",C56&amp;IF(D56&lt;&gt;""," – "&amp;D56,""))</f>
        <v/>
      </c>
      <c r="F56" s="1" t="n"/>
      <c r="G56" s="1" t="n"/>
      <c r="H56" s="1" t="n"/>
      <c r="I56" s="5">
        <f>IF(A56="","",IF(COUNTIF(Måned!$A$5:$A$2000,A56)&gt;0,"Ja",""))</f>
        <v/>
      </c>
      <c r="J56" s="1" t="n"/>
      <c r="K56" s="1" t="n"/>
    </row>
    <row r="57">
      <c r="A57" s="1" t="n"/>
      <c r="B57" s="1" t="n"/>
      <c r="C57" s="1" t="n"/>
      <c r="D57" s="1" t="n"/>
      <c r="E57" s="5">
        <f>IF(A57="","",C57&amp;IF(D57&lt;&gt;""," – "&amp;D57,""))</f>
        <v/>
      </c>
      <c r="F57" s="1" t="n"/>
      <c r="G57" s="1" t="n"/>
      <c r="H57" s="1" t="n"/>
      <c r="I57" s="5">
        <f>IF(A57="","",IF(COUNTIF(Måned!$A$5:$A$2000,A57)&gt;0,"Ja",""))</f>
        <v/>
      </c>
      <c r="J57" s="1" t="n"/>
      <c r="K57" s="1" t="n"/>
    </row>
    <row r="58">
      <c r="A58" s="1" t="n"/>
      <c r="B58" s="1" t="n"/>
      <c r="C58" s="1" t="n"/>
      <c r="D58" s="1" t="n"/>
      <c r="E58" s="5">
        <f>IF(A58="","",C58&amp;IF(D58&lt;&gt;""," – "&amp;D58,""))</f>
        <v/>
      </c>
      <c r="F58" s="1" t="n"/>
      <c r="G58" s="1" t="n"/>
      <c r="H58" s="1" t="n"/>
      <c r="I58" s="5">
        <f>IF(A58="","",IF(COUNTIF(Måned!$A$5:$A$2000,A58)&gt;0,"Ja",""))</f>
        <v/>
      </c>
      <c r="J58" s="1" t="n"/>
      <c r="K58" s="1" t="n"/>
    </row>
    <row r="59">
      <c r="A59" s="1" t="n"/>
      <c r="B59" s="1" t="n"/>
      <c r="C59" s="1" t="n"/>
      <c r="D59" s="1" t="n"/>
      <c r="E59" s="5">
        <f>IF(A59="","",C59&amp;IF(D59&lt;&gt;""," – "&amp;D59,""))</f>
        <v/>
      </c>
      <c r="F59" s="1" t="n"/>
      <c r="G59" s="1" t="n"/>
      <c r="H59" s="1" t="n"/>
      <c r="I59" s="5">
        <f>IF(A59="","",IF(COUNTIF(Måned!$A$5:$A$2000,A59)&gt;0,"Ja",""))</f>
        <v/>
      </c>
      <c r="J59" s="1" t="n"/>
      <c r="K59" s="1" t="n"/>
    </row>
    <row r="60">
      <c r="A60" s="1" t="n"/>
      <c r="B60" s="1" t="n"/>
      <c r="C60" s="1" t="n"/>
      <c r="D60" s="1" t="n"/>
      <c r="E60" s="5">
        <f>IF(A60="","",C60&amp;IF(D60&lt;&gt;""," – "&amp;D60,""))</f>
        <v/>
      </c>
      <c r="F60" s="1" t="n"/>
      <c r="G60" s="1" t="n"/>
      <c r="H60" s="1" t="n"/>
      <c r="I60" s="5">
        <f>IF(A60="","",IF(COUNTIF(Måned!$A$5:$A$2000,A60)&gt;0,"Ja",""))</f>
        <v/>
      </c>
      <c r="J60" s="1" t="n"/>
      <c r="K60" s="1" t="n"/>
    </row>
    <row r="61">
      <c r="A61" s="1" t="n"/>
      <c r="B61" s="1" t="n"/>
      <c r="C61" s="1" t="n"/>
      <c r="D61" s="1" t="n"/>
      <c r="E61" s="5">
        <f>IF(A61="","",C61&amp;IF(D61&lt;&gt;""," – "&amp;D61,""))</f>
        <v/>
      </c>
      <c r="F61" s="1" t="n"/>
      <c r="G61" s="1" t="n"/>
      <c r="H61" s="1" t="n"/>
      <c r="I61" s="5">
        <f>IF(A61="","",IF(COUNTIF(Måned!$A$5:$A$2000,A61)&gt;0,"Ja",""))</f>
        <v/>
      </c>
      <c r="J61" s="1" t="n"/>
      <c r="K61" s="1" t="n"/>
    </row>
    <row r="62">
      <c r="A62" s="1" t="n"/>
      <c r="B62" s="1" t="n"/>
      <c r="C62" s="1" t="n"/>
      <c r="D62" s="1" t="n"/>
      <c r="E62" s="5">
        <f>IF(A62="","",C62&amp;IF(D62&lt;&gt;""," – "&amp;D62,""))</f>
        <v/>
      </c>
      <c r="F62" s="1" t="n"/>
      <c r="G62" s="1" t="n"/>
      <c r="H62" s="1" t="n"/>
      <c r="I62" s="5">
        <f>IF(A62="","",IF(COUNTIF(Måned!$A$5:$A$2000,A62)&gt;0,"Ja",""))</f>
        <v/>
      </c>
      <c r="J62" s="1" t="n"/>
      <c r="K62" s="1" t="n"/>
    </row>
    <row r="63">
      <c r="A63" s="1" t="n"/>
      <c r="B63" s="1" t="n"/>
      <c r="C63" s="1" t="n"/>
      <c r="D63" s="1" t="n"/>
      <c r="E63" s="5">
        <f>IF(A63="","",C63&amp;IF(D63&lt;&gt;""," – "&amp;D63,""))</f>
        <v/>
      </c>
      <c r="F63" s="1" t="n"/>
      <c r="G63" s="1" t="n"/>
      <c r="H63" s="1" t="n"/>
      <c r="I63" s="5">
        <f>IF(A63="","",IF(COUNTIF(Måned!$A$5:$A$2000,A63)&gt;0,"Ja",""))</f>
        <v/>
      </c>
      <c r="J63" s="1" t="n"/>
      <c r="K63" s="1" t="n"/>
    </row>
    <row r="64">
      <c r="A64" s="1" t="n"/>
      <c r="B64" s="1" t="n"/>
      <c r="C64" s="1" t="n"/>
      <c r="D64" s="1" t="n"/>
      <c r="E64" s="5">
        <f>IF(A64="","",C64&amp;IF(D64&lt;&gt;""," – "&amp;D64,""))</f>
        <v/>
      </c>
      <c r="F64" s="1" t="n"/>
      <c r="G64" s="1" t="n"/>
      <c r="H64" s="1" t="n"/>
      <c r="I64" s="5">
        <f>IF(A64="","",IF(COUNTIF(Måned!$A$5:$A$2000,A64)&gt;0,"Ja",""))</f>
        <v/>
      </c>
      <c r="J64" s="1" t="n"/>
      <c r="K64" s="1" t="n"/>
    </row>
  </sheetData>
  <autoFilter ref="A4:K64"/>
  <dataValidations count="1">
    <dataValidation sqref="F5:F64" showDropDown="0" showInputMessage="0" showErrorMessage="0" allowBlank="1" type="list">
      <formula1>"Ikke besøkt,Planlagt,Booket,Besøkt"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7" customWidth="1" min="4" max="4"/>
    <col width="8" customWidth="1" min="5" max="5"/>
    <col width="11" customWidth="1" min="6" max="6"/>
    <col width="13" customWidth="1" min="7" max="7"/>
    <col width="9" customWidth="1" min="8" max="8"/>
    <col width="10" customWidth="1" min="9" max="9"/>
    <col width="11" customWidth="1" min="10" max="10"/>
    <col width="70" customWidth="1" min="11" max="11"/>
  </cols>
  <sheetData>
    <row r="1">
      <c r="A1" s="2" t="inlineStr">
        <is>
          <t>Månedsvurdering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T maks/nedbør = månedsnormaler fra én representativ stasjon (se Destinasjoner, kolonne K). Botswana og Antarktis er foreløpig ikke verifisert.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0" t="inlineStr">
        <is>
          <t>ID</t>
        </is>
      </c>
      <c r="B4" s="20" t="inlineStr">
        <is>
          <t>Destinasjon</t>
        </is>
      </c>
      <c r="C4" s="20" t="inlineStr">
        <is>
          <t>Mnd</t>
        </is>
      </c>
      <c r="D4" s="20" t="inlineStr">
        <is>
          <t>Måned</t>
        </is>
      </c>
      <c r="E4" s="20" t="inlineStr">
        <is>
          <t>Klima</t>
        </is>
      </c>
      <c r="F4" s="20" t="inlineStr">
        <is>
          <t>Opplevelse</t>
        </is>
      </c>
      <c r="G4" s="20" t="inlineStr">
        <is>
          <t>Trengsel/pris</t>
        </is>
      </c>
      <c r="H4" s="20" t="inlineStr">
        <is>
          <t>Samlet</t>
        </is>
      </c>
      <c r="I4" s="20" t="inlineStr">
        <is>
          <t>T maks °C</t>
        </is>
      </c>
      <c r="J4" s="20" t="inlineStr">
        <is>
          <t>Nedbør mm</t>
        </is>
      </c>
      <c r="K4" s="20" t="inlineStr">
        <is>
          <t>Begrunnelse</t>
        </is>
      </c>
    </row>
    <row r="5">
      <c r="A5" s="21" t="inlineStr">
        <is>
          <t>BTN</t>
        </is>
      </c>
      <c r="B5" s="5">
        <f>IFERROR(INDEX(Destinasjoner!$E$5:$E$64,MATCH(A5,Destinasjoner!$A$5:$A$64,0)),"")</f>
        <v/>
      </c>
      <c r="C5" s="21" t="n">
        <v>1</v>
      </c>
      <c r="D5" s="5">
        <f>IF(C5="","",CHOOSE(C5,"jan","feb","mar","apr","mai","jun","jul","aug","sep","okt","nov","des"))</f>
        <v/>
      </c>
      <c r="E5" s="21" t="n">
        <v>3</v>
      </c>
      <c r="F5" s="21" t="n">
        <v>3</v>
      </c>
      <c r="G5" s="21" t="n">
        <v>5</v>
      </c>
      <c r="H5" s="18">
        <f>IF(COUNT(E5:G5)&lt;3,"",ROUND(IF(OR(E5=1,F5=1),MIN('Les meg'!$C$25,E5*'Les meg'!$C$21+F5*'Les meg'!$C$22+G5*'Les meg'!$C$23),E5*'Les meg'!$C$21+F5*'Les meg'!$C$22+G5*'Les meg'!$C$23),1))</f>
        <v/>
      </c>
      <c r="I5" s="21" t="n">
        <v>13.2</v>
      </c>
      <c r="J5" s="21" t="n">
        <v>7</v>
      </c>
      <c r="K5" s="21" t="inlineStr">
        <is>
          <t>Kaldt (nattefrost), men klart. Høye pass kan ha snø. Lite turister.</t>
        </is>
      </c>
    </row>
    <row r="6">
      <c r="A6" s="21" t="inlineStr">
        <is>
          <t>BTN</t>
        </is>
      </c>
      <c r="B6" s="5">
        <f>IFERROR(INDEX(Destinasjoner!$E$5:$E$64,MATCH(A6,Destinasjoner!$A$5:$A$64,0)),"")</f>
        <v/>
      </c>
      <c r="C6" s="21" t="n">
        <v>2</v>
      </c>
      <c r="D6" s="5">
        <f>IF(C6="","",CHOOSE(C6,"jan","feb","mar","apr","mai","jun","jul","aug","sep","okt","nov","des"))</f>
        <v/>
      </c>
      <c r="E6" s="21" t="n">
        <v>3</v>
      </c>
      <c r="F6" s="21" t="n">
        <v>4</v>
      </c>
      <c r="G6" s="21" t="n">
        <v>5</v>
      </c>
      <c r="H6" s="18">
        <f>IF(COUNT(E6:G6)&lt;3,"",ROUND(IF(OR(E6=1,F6=1),MIN('Les meg'!$C$25,E6*'Les meg'!$C$21+F6*'Les meg'!$C$22+G6*'Les meg'!$C$23),E6*'Les meg'!$C$21+F6*'Les meg'!$C$22+G6*'Les meg'!$C$23),1))</f>
        <v/>
      </c>
      <c r="I6" s="21" t="n">
        <v>15</v>
      </c>
      <c r="J6" s="21" t="n">
        <v>13</v>
      </c>
      <c r="K6" s="21" t="inlineStr">
        <is>
          <t>Kjølig og klart. Punakha-festivaler (se Vinduer).</t>
        </is>
      </c>
    </row>
    <row r="7">
      <c r="A7" s="21" t="inlineStr">
        <is>
          <t>BTN</t>
        </is>
      </c>
      <c r="B7" s="5">
        <f>IFERROR(INDEX(Destinasjoner!$E$5:$E$64,MATCH(A7,Destinasjoner!$A$5:$A$64,0)),"")</f>
        <v/>
      </c>
      <c r="C7" s="21" t="n">
        <v>3</v>
      </c>
      <c r="D7" s="5">
        <f>IF(C7="","",CHOOSE(C7,"jan","feb","mar","apr","mai","jun","jul","aug","sep","okt","nov","des"))</f>
        <v/>
      </c>
      <c r="E7" s="21" t="n">
        <v>4</v>
      </c>
      <c r="F7" s="21" t="n">
        <v>5</v>
      </c>
      <c r="G7" s="21" t="n">
        <v>3</v>
      </c>
      <c r="H7" s="18">
        <f>IF(COUNT(E7:G7)&lt;3,"",ROUND(IF(OR(E7=1,F7=1),MIN('Les meg'!$C$25,E7*'Les meg'!$C$21+F7*'Les meg'!$C$22+G7*'Les meg'!$C$23),E7*'Les meg'!$C$21+F7*'Les meg'!$C$22+G7*'Les meg'!$C$23),1))</f>
        <v/>
      </c>
      <c r="I7" s="21" t="n">
        <v>17.9</v>
      </c>
      <c r="J7" s="21" t="n">
        <v>22</v>
      </c>
      <c r="K7" s="21" t="inlineStr">
        <is>
          <t>Rhododendron starter, god sikt. Paro Tsechu (se Vinduer).</t>
        </is>
      </c>
    </row>
    <row r="8">
      <c r="A8" s="21" t="inlineStr">
        <is>
          <t>BTN</t>
        </is>
      </c>
      <c r="B8" s="5">
        <f>IFERROR(INDEX(Destinasjoner!$E$5:$E$64,MATCH(A8,Destinasjoner!$A$5:$A$64,0)),"")</f>
        <v/>
      </c>
      <c r="C8" s="21" t="n">
        <v>4</v>
      </c>
      <c r="D8" s="5">
        <f>IF(C8="","",CHOOSE(C8,"jan","feb","mar","apr","mai","jun","jul","aug","sep","okt","nov","des"))</f>
        <v/>
      </c>
      <c r="E8" s="21" t="n">
        <v>5</v>
      </c>
      <c r="F8" s="21" t="n">
        <v>5</v>
      </c>
      <c r="G8" s="21" t="n">
        <v>2</v>
      </c>
      <c r="H8" s="18">
        <f>IF(COUNT(E8:G8)&lt;3,"",ROUND(IF(OR(E8=1,F8=1),MIN('Les meg'!$C$25,E8*'Les meg'!$C$21+F8*'Les meg'!$C$22+G8*'Les meg'!$C$23),E8*'Les meg'!$C$21+F8*'Les meg'!$C$22+G8*'Les meg'!$C$23),1))</f>
        <v/>
      </c>
      <c r="I8" s="21" t="n">
        <v>20.6</v>
      </c>
      <c r="J8" s="21" t="n">
        <v>34</v>
      </c>
      <c r="K8" s="21" t="inlineStr">
        <is>
          <t>Vår-toppsesong: rhododendron i blomst, mildt.</t>
        </is>
      </c>
    </row>
    <row r="9">
      <c r="A9" s="21" t="inlineStr">
        <is>
          <t>BTN</t>
        </is>
      </c>
      <c r="B9" s="5">
        <f>IFERROR(INDEX(Destinasjoner!$E$5:$E$64,MATCH(A9,Destinasjoner!$A$5:$A$64,0)),"")</f>
        <v/>
      </c>
      <c r="C9" s="21" t="n">
        <v>5</v>
      </c>
      <c r="D9" s="5">
        <f>IF(C9="","",CHOOSE(C9,"jan","feb","mar","apr","mai","jun","jul","aug","sep","okt","nov","des"))</f>
        <v/>
      </c>
      <c r="E9" s="21" t="n">
        <v>4</v>
      </c>
      <c r="F9" s="21" t="n">
        <v>4</v>
      </c>
      <c r="G9" s="21" t="n">
        <v>3</v>
      </c>
      <c r="H9" s="18">
        <f>IF(COUNT(E9:G9)&lt;3,"",ROUND(IF(OR(E9=1,F9=1),MIN('Les meg'!$C$25,E9*'Les meg'!$C$21+F9*'Les meg'!$C$22+G9*'Les meg'!$C$23),E9*'Les meg'!$C$21+F9*'Les meg'!$C$22+G9*'Les meg'!$C$23),1))</f>
        <v/>
      </c>
      <c r="I9" s="21" t="n">
        <v>22.7</v>
      </c>
      <c r="J9" s="21" t="n">
        <v>59</v>
      </c>
      <c r="K9" s="21" t="inlineStr">
        <is>
          <t>Varmere, mer skyer/dis mot slutten av måneden.</t>
        </is>
      </c>
    </row>
    <row r="10">
      <c r="A10" s="21" t="inlineStr">
        <is>
          <t>BTN</t>
        </is>
      </c>
      <c r="B10" s="5">
        <f>IFERROR(INDEX(Destinasjoner!$E$5:$E$64,MATCH(A10,Destinasjoner!$A$5:$A$64,0)),"")</f>
        <v/>
      </c>
      <c r="C10" s="21" t="n">
        <v>6</v>
      </c>
      <c r="D10" s="5">
        <f>IF(C10="","",CHOOSE(C10,"jan","feb","mar","apr","mai","jun","jul","aug","sep","okt","nov","des"))</f>
        <v/>
      </c>
      <c r="E10" s="21" t="n">
        <v>2</v>
      </c>
      <c r="F10" s="21" t="n">
        <v>3</v>
      </c>
      <c r="G10" s="21" t="n">
        <v>4</v>
      </c>
      <c r="H10" s="18">
        <f>IF(COUNT(E10:G10)&lt;3,"",ROUND(IF(OR(E10=1,F10=1),MIN('Les meg'!$C$25,E10*'Les meg'!$C$21+F10*'Les meg'!$C$22+G10*'Les meg'!$C$23),E10*'Les meg'!$C$21+F10*'Les meg'!$C$22+G10*'Les meg'!$C$23),1))</f>
        <v/>
      </c>
      <c r="I10" s="21" t="n">
        <v>24.6</v>
      </c>
      <c r="J10" s="21" t="n">
        <v>81</v>
      </c>
      <c r="K10" s="21" t="inlineStr">
        <is>
          <t>Monsun starter; skyer skjuler fjellene.</t>
        </is>
      </c>
    </row>
    <row r="11">
      <c r="A11" s="21" t="inlineStr">
        <is>
          <t>BTN</t>
        </is>
      </c>
      <c r="B11" s="5">
        <f>IFERROR(INDEX(Destinasjoner!$E$5:$E$64,MATCH(A11,Destinasjoner!$A$5:$A$64,0)),"")</f>
        <v/>
      </c>
      <c r="C11" s="21" t="n">
        <v>7</v>
      </c>
      <c r="D11" s="5">
        <f>IF(C11="","",CHOOSE(C11,"jan","feb","mar","apr","mai","jun","jul","aug","sep","okt","nov","des"))</f>
        <v/>
      </c>
      <c r="E11" s="21" t="n">
        <v>2</v>
      </c>
      <c r="F11" s="21" t="n">
        <v>2</v>
      </c>
      <c r="G11" s="21" t="n">
        <v>5</v>
      </c>
      <c r="H11" s="18">
        <f>IF(COUNT(E11:G11)&lt;3,"",ROUND(IF(OR(E11=1,F11=1),MIN('Les meg'!$C$25,E11*'Les meg'!$C$21+F11*'Les meg'!$C$22+G11*'Les meg'!$C$23),E11*'Les meg'!$C$21+F11*'Les meg'!$C$22+G11*'Les meg'!$C$23),1))</f>
        <v/>
      </c>
      <c r="I11" s="21" t="n">
        <v>25</v>
      </c>
      <c r="J11" s="21" t="n">
        <v>161</v>
      </c>
      <c r="K11" s="21" t="inlineStr">
        <is>
          <t>Monsun: regn, jordras på veiene, dårlig fjellutsikt.</t>
        </is>
      </c>
    </row>
    <row r="12">
      <c r="A12" s="21" t="inlineStr">
        <is>
          <t>BTN</t>
        </is>
      </c>
      <c r="B12" s="5">
        <f>IFERROR(INDEX(Destinasjoner!$E$5:$E$64,MATCH(A12,Destinasjoner!$A$5:$A$64,0)),"")</f>
        <v/>
      </c>
      <c r="C12" s="21" t="n">
        <v>8</v>
      </c>
      <c r="D12" s="5">
        <f>IF(C12="","",CHOOSE(C12,"jan","feb","mar","apr","mai","jun","jul","aug","sep","okt","nov","des"))</f>
        <v/>
      </c>
      <c r="E12" s="21" t="n">
        <v>2</v>
      </c>
      <c r="F12" s="21" t="n">
        <v>2</v>
      </c>
      <c r="G12" s="21" t="n">
        <v>5</v>
      </c>
      <c r="H12" s="18">
        <f>IF(COUNT(E12:G12)&lt;3,"",ROUND(IF(OR(E12=1,F12=1),MIN('Les meg'!$C$25,E12*'Les meg'!$C$21+F12*'Les meg'!$C$22+G12*'Les meg'!$C$23),E12*'Les meg'!$C$21+F12*'Les meg'!$C$22+G12*'Les meg'!$C$23),1))</f>
        <v/>
      </c>
      <c r="I12" s="21" t="n">
        <v>24.9</v>
      </c>
      <c r="J12" s="21" t="n">
        <v>113</v>
      </c>
      <c r="K12" s="21" t="inlineStr">
        <is>
          <t>Monsun. Lavsesong.</t>
        </is>
      </c>
    </row>
    <row r="13">
      <c r="A13" s="21" t="inlineStr">
        <is>
          <t>BTN</t>
        </is>
      </c>
      <c r="B13" s="5">
        <f>IFERROR(INDEX(Destinasjoner!$E$5:$E$64,MATCH(A13,Destinasjoner!$A$5:$A$64,0)),"")</f>
        <v/>
      </c>
      <c r="C13" s="21" t="n">
        <v>9</v>
      </c>
      <c r="D13" s="5">
        <f>IF(C13="","",CHOOSE(C13,"jan","feb","mar","apr","mai","jun","jul","aug","sep","okt","nov","des"))</f>
        <v/>
      </c>
      <c r="E13" s="21" t="n">
        <v>3</v>
      </c>
      <c r="F13" s="21" t="n">
        <v>4</v>
      </c>
      <c r="G13" s="21" t="n">
        <v>3</v>
      </c>
      <c r="H13" s="18">
        <f>IF(COUNT(E13:G13)&lt;3,"",ROUND(IF(OR(E13=1,F13=1),MIN('Les meg'!$C$25,E13*'Les meg'!$C$21+F13*'Les meg'!$C$22+G13*'Les meg'!$C$23),E13*'Les meg'!$C$21+F13*'Les meg'!$C$22+G13*'Les meg'!$C$23),1))</f>
        <v/>
      </c>
      <c r="I13" s="21" t="n">
        <v>23.3</v>
      </c>
      <c r="J13" s="21" t="n">
        <v>88</v>
      </c>
      <c r="K13" s="21" t="inlineStr">
        <is>
          <t>Monsunen avtar. Thimphu Tsechu (2026: 21.–23.9).</t>
        </is>
      </c>
    </row>
    <row r="14">
      <c r="A14" s="21" t="inlineStr">
        <is>
          <t>BTN</t>
        </is>
      </c>
      <c r="B14" s="5">
        <f>IFERROR(INDEX(Destinasjoner!$E$5:$E$64,MATCH(A14,Destinasjoner!$A$5:$A$64,0)),"")</f>
        <v/>
      </c>
      <c r="C14" s="21" t="n">
        <v>10</v>
      </c>
      <c r="D14" s="5">
        <f>IF(C14="","",CHOOSE(C14,"jan","feb","mar","apr","mai","jun","jul","aug","sep","okt","nov","des"))</f>
        <v/>
      </c>
      <c r="E14" s="21" t="n">
        <v>5</v>
      </c>
      <c r="F14" s="21" t="n">
        <v>5</v>
      </c>
      <c r="G14" s="21" t="n">
        <v>1</v>
      </c>
      <c r="H14" s="18">
        <f>IF(COUNT(E14:G14)&lt;3,"",ROUND(IF(OR(E14=1,F14=1),MIN('Les meg'!$C$25,E14*'Les meg'!$C$21+F14*'Les meg'!$C$22+G14*'Les meg'!$C$23),E14*'Les meg'!$C$21+F14*'Les meg'!$C$22+G14*'Les meg'!$C$23),1))</f>
        <v/>
      </c>
      <c r="I14" s="21" t="n">
        <v>20.7</v>
      </c>
      <c r="J14" s="21" t="n">
        <v>49</v>
      </c>
      <c r="K14" s="21" t="inlineStr">
        <is>
          <t>Beste måned: klart, tørt, festivaler. Toppsesong – book tidlig.</t>
        </is>
      </c>
    </row>
    <row r="15">
      <c r="A15" s="21" t="inlineStr">
        <is>
          <t>BTN</t>
        </is>
      </c>
      <c r="B15" s="5">
        <f>IFERROR(INDEX(Destinasjoner!$E$5:$E$64,MATCH(A15,Destinasjoner!$A$5:$A$64,0)),"")</f>
        <v/>
      </c>
      <c r="C15" s="21" t="n">
        <v>11</v>
      </c>
      <c r="D15" s="5">
        <f>IF(C15="","",CHOOSE(C15,"jan","feb","mar","apr","mai","jun","jul","aug","sep","okt","nov","des"))</f>
        <v/>
      </c>
      <c r="E15" s="21" t="n">
        <v>5</v>
      </c>
      <c r="F15" s="21" t="n">
        <v>5</v>
      </c>
      <c r="G15" s="21" t="n">
        <v>2</v>
      </c>
      <c r="H15" s="18">
        <f>IF(COUNT(E15:G15)&lt;3,"",ROUND(IF(OR(E15=1,F15=1),MIN('Les meg'!$C$25,E15*'Les meg'!$C$21+F15*'Les meg'!$C$22+G15*'Les meg'!$C$23),E15*'Les meg'!$C$21+F15*'Les meg'!$C$22+G15*'Les meg'!$C$23),1))</f>
        <v/>
      </c>
      <c r="I15" s="21" t="n">
        <v>16.9</v>
      </c>
      <c r="J15" s="21" t="n">
        <v>2</v>
      </c>
      <c r="K15" s="21" t="inlineStr">
        <is>
          <t>Klart og tørt, kjøligere. Svarthalset trane i Phobjikha (se Vinduer).</t>
        </is>
      </c>
    </row>
    <row r="16">
      <c r="A16" s="21" t="inlineStr">
        <is>
          <t>BTN</t>
        </is>
      </c>
      <c r="B16" s="5">
        <f>IFERROR(INDEX(Destinasjoner!$E$5:$E$64,MATCH(A16,Destinasjoner!$A$5:$A$64,0)),"")</f>
        <v/>
      </c>
      <c r="C16" s="21" t="n">
        <v>12</v>
      </c>
      <c r="D16" s="5">
        <f>IF(C16="","",CHOOSE(C16,"jan","feb","mar","apr","mai","jun","jul","aug","sep","okt","nov","des"))</f>
        <v/>
      </c>
      <c r="E16" s="21" t="n">
        <v>4</v>
      </c>
      <c r="F16" s="21" t="n">
        <v>4</v>
      </c>
      <c r="G16" s="21" t="n">
        <v>4</v>
      </c>
      <c r="H16" s="18">
        <f>IF(COUNT(E16:G16)&lt;3,"",ROUND(IF(OR(E16=1,F16=1),MIN('Les meg'!$C$25,E16*'Les meg'!$C$21+F16*'Les meg'!$C$22+G16*'Les meg'!$C$23),E16*'Les meg'!$C$21+F16*'Les meg'!$C$22+G16*'Les meg'!$C$23),1))</f>
        <v/>
      </c>
      <c r="I16" s="21" t="n">
        <v>14.6</v>
      </c>
      <c r="J16" s="21" t="n">
        <v>3</v>
      </c>
      <c r="K16" s="21" t="inlineStr">
        <is>
          <t>Kaldt, men klart og stille. Lav trengsel.</t>
        </is>
      </c>
    </row>
    <row r="17">
      <c r="A17" s="21" t="inlineStr">
        <is>
          <t>MMR</t>
        </is>
      </c>
      <c r="B17" s="5">
        <f>IFERROR(INDEX(Destinasjoner!$E$5:$E$64,MATCH(A17,Destinasjoner!$A$5:$A$64,0)),"")</f>
        <v/>
      </c>
      <c r="C17" s="21" t="n">
        <v>1</v>
      </c>
      <c r="D17" s="5">
        <f>IF(C17="","",CHOOSE(C17,"jan","feb","mar","apr","mai","jun","jul","aug","sep","okt","nov","des"))</f>
        <v/>
      </c>
      <c r="E17" s="21" t="n">
        <v>5</v>
      </c>
      <c r="F17" s="21" t="n">
        <v>5</v>
      </c>
      <c r="G17" s="21" t="n">
        <v>2</v>
      </c>
      <c r="H17" s="18">
        <f>IF(COUNT(E17:G17)&lt;3,"",ROUND(IF(OR(E17=1,F17=1),MIN('Les meg'!$C$25,E17*'Les meg'!$C$21+F17*'Les meg'!$C$22+G17*'Les meg'!$C$23),E17*'Les meg'!$C$21+F17*'Les meg'!$C$22+G17*'Les meg'!$C$23),1))</f>
        <v/>
      </c>
      <c r="I17" s="21" t="n">
        <v>33.1</v>
      </c>
      <c r="J17" s="21" t="n">
        <v>5</v>
      </c>
      <c r="K17" s="21" t="inlineStr">
        <is>
          <t>Tørt, behagelig. Ballongsesong i Bagan. Høysesong.</t>
        </is>
      </c>
    </row>
    <row r="18">
      <c r="A18" s="21" t="inlineStr">
        <is>
          <t>MMR</t>
        </is>
      </c>
      <c r="B18" s="5">
        <f>IFERROR(INDEX(Destinasjoner!$E$5:$E$64,MATCH(A18,Destinasjoner!$A$5:$A$64,0)),"")</f>
        <v/>
      </c>
      <c r="C18" s="21" t="n">
        <v>2</v>
      </c>
      <c r="D18" s="5">
        <f>IF(C18="","",CHOOSE(C18,"jan","feb","mar","apr","mai","jun","jul","aug","sep","okt","nov","des"))</f>
        <v/>
      </c>
      <c r="E18" s="21" t="n">
        <v>5</v>
      </c>
      <c r="F18" s="21" t="n">
        <v>5</v>
      </c>
      <c r="G18" s="21" t="n">
        <v>3</v>
      </c>
      <c r="H18" s="18">
        <f>IF(COUNT(E18:G18)&lt;3,"",ROUND(IF(OR(E18=1,F18=1),MIN('Les meg'!$C$25,E18*'Les meg'!$C$21+F18*'Les meg'!$C$22+G18*'Les meg'!$C$23),E18*'Les meg'!$C$21+F18*'Les meg'!$C$22+G18*'Les meg'!$C$23),1))</f>
        <v/>
      </c>
      <c r="I18" s="21" t="n">
        <v>35.1</v>
      </c>
      <c r="J18" s="21" t="n">
        <v>3</v>
      </c>
      <c r="K18" s="21" t="inlineStr">
        <is>
          <t>Tørt, varmere.</t>
        </is>
      </c>
    </row>
    <row r="19">
      <c r="A19" s="21" t="inlineStr">
        <is>
          <t>MMR</t>
        </is>
      </c>
      <c r="B19" s="5">
        <f>IFERROR(INDEX(Destinasjoner!$E$5:$E$64,MATCH(A19,Destinasjoner!$A$5:$A$64,0)),"")</f>
        <v/>
      </c>
      <c r="C19" s="21" t="n">
        <v>3</v>
      </c>
      <c r="D19" s="5">
        <f>IF(C19="","",CHOOSE(C19,"jan","feb","mar","apr","mai","jun","jul","aug","sep","okt","nov","des"))</f>
        <v/>
      </c>
      <c r="E19" s="21" t="n">
        <v>3</v>
      </c>
      <c r="F19" s="21" t="n">
        <v>4</v>
      </c>
      <c r="G19" s="21" t="n">
        <v>4</v>
      </c>
      <c r="H19" s="18">
        <f>IF(COUNT(E19:G19)&lt;3,"",ROUND(IF(OR(E19=1,F19=1),MIN('Les meg'!$C$25,E19*'Les meg'!$C$21+F19*'Les meg'!$C$22+G19*'Les meg'!$C$23),E19*'Les meg'!$C$21+F19*'Les meg'!$C$22+G19*'Les meg'!$C$23),1))</f>
        <v/>
      </c>
      <c r="I19" s="21" t="n">
        <v>36.8</v>
      </c>
      <c r="J19" s="21" t="n">
        <v>15</v>
      </c>
      <c r="K19" s="21" t="inlineStr">
        <is>
          <t>Varmt; Bagan/Mandalay 37 °C, dis.</t>
        </is>
      </c>
    </row>
    <row r="20">
      <c r="A20" s="21" t="inlineStr">
        <is>
          <t>MMR</t>
        </is>
      </c>
      <c r="B20" s="5">
        <f>IFERROR(INDEX(Destinasjoner!$E$5:$E$64,MATCH(A20,Destinasjoner!$A$5:$A$64,0)),"")</f>
        <v/>
      </c>
      <c r="C20" s="21" t="n">
        <v>4</v>
      </c>
      <c r="D20" s="5">
        <f>IF(C20="","",CHOOSE(C20,"jan","feb","mar","apr","mai","jun","jul","aug","sep","okt","nov","des"))</f>
        <v/>
      </c>
      <c r="E20" s="21" t="n">
        <v>2</v>
      </c>
      <c r="F20" s="21" t="n">
        <v>3</v>
      </c>
      <c r="G20" s="21" t="n">
        <v>4</v>
      </c>
      <c r="H20" s="18">
        <f>IF(COUNT(E20:G20)&lt;3,"",ROUND(IF(OR(E20=1,F20=1),MIN('Les meg'!$C$25,E20*'Les meg'!$C$21+F20*'Les meg'!$C$22+G20*'Les meg'!$C$23),E20*'Les meg'!$C$21+F20*'Les meg'!$C$22+G20*'Les meg'!$C$23),1))</f>
        <v/>
      </c>
      <c r="I20" s="21" t="n">
        <v>37.7</v>
      </c>
      <c r="J20" s="21" t="n">
        <v>38</v>
      </c>
      <c r="K20" s="21" t="inlineStr">
        <is>
          <t>Hetest (Mandalay 39 °C). Thingyan-vannfestival (se Vinduer).</t>
        </is>
      </c>
    </row>
    <row r="21">
      <c r="A21" s="21" t="inlineStr">
        <is>
          <t>MMR</t>
        </is>
      </c>
      <c r="B21" s="5">
        <f>IFERROR(INDEX(Destinasjoner!$E$5:$E$64,MATCH(A21,Destinasjoner!$A$5:$A$64,0)),"")</f>
        <v/>
      </c>
      <c r="C21" s="21" t="n">
        <v>5</v>
      </c>
      <c r="D21" s="5">
        <f>IF(C21="","",CHOOSE(C21,"jan","feb","mar","apr","mai","jun","jul","aug","sep","okt","nov","des"))</f>
        <v/>
      </c>
      <c r="E21" s="21" t="n">
        <v>2</v>
      </c>
      <c r="F21" s="21" t="n">
        <v>3</v>
      </c>
      <c r="G21" s="21" t="n">
        <v>5</v>
      </c>
      <c r="H21" s="18">
        <f>IF(COUNT(E21:G21)&lt;3,"",ROUND(IF(OR(E21=1,F21=1),MIN('Les meg'!$C$25,E21*'Les meg'!$C$21+F21*'Les meg'!$C$22+G21*'Les meg'!$C$23),E21*'Les meg'!$C$21+F21*'Les meg'!$C$22+G21*'Les meg'!$C$23),1))</f>
        <v/>
      </c>
      <c r="I21" s="21" t="n">
        <v>34.5</v>
      </c>
      <c r="J21" s="21" t="n">
        <v>334</v>
      </c>
      <c r="K21" s="21" t="inlineStr">
        <is>
          <t>Monsun starter, fortsatt svært varmt.</t>
        </is>
      </c>
    </row>
    <row r="22">
      <c r="A22" s="21" t="inlineStr">
        <is>
          <t>MMR</t>
        </is>
      </c>
      <c r="B22" s="5">
        <f>IFERROR(INDEX(Destinasjoner!$E$5:$E$64,MATCH(A22,Destinasjoner!$A$5:$A$64,0)),"")</f>
        <v/>
      </c>
      <c r="C22" s="21" t="n">
        <v>6</v>
      </c>
      <c r="D22" s="5">
        <f>IF(C22="","",CHOOSE(C22,"jan","feb","mar","apr","mai","jun","jul","aug","sep","okt","nov","des"))</f>
        <v/>
      </c>
      <c r="E22" s="21" t="n">
        <v>2</v>
      </c>
      <c r="F22" s="21" t="n">
        <v>2</v>
      </c>
      <c r="G22" s="21" t="n">
        <v>5</v>
      </c>
      <c r="H22" s="18">
        <f>IF(COUNT(E22:G22)&lt;3,"",ROUND(IF(OR(E22=1,F22=1),MIN('Les meg'!$C$25,E22*'Les meg'!$C$21+F22*'Les meg'!$C$22+G22*'Les meg'!$C$23),E22*'Les meg'!$C$21+F22*'Les meg'!$C$22+G22*'Les meg'!$C$23),1))</f>
        <v/>
      </c>
      <c r="I22" s="21" t="n">
        <v>31.3</v>
      </c>
      <c r="J22" s="21" t="n">
        <v>554</v>
      </c>
      <c r="K22" s="21" t="inlineStr">
        <is>
          <t>Monsun (Yangon 554 mm). Bagan i tørrsonen får langt mindre. Ingen ballonger.</t>
        </is>
      </c>
    </row>
    <row r="23">
      <c r="A23" s="21" t="inlineStr">
        <is>
          <t>MMR</t>
        </is>
      </c>
      <c r="B23" s="5">
        <f>IFERROR(INDEX(Destinasjoner!$E$5:$E$64,MATCH(A23,Destinasjoner!$A$5:$A$64,0)),"")</f>
        <v/>
      </c>
      <c r="C23" s="21" t="n">
        <v>7</v>
      </c>
      <c r="D23" s="5">
        <f>IF(C23="","",CHOOSE(C23,"jan","feb","mar","apr","mai","jun","jul","aug","sep","okt","nov","des"))</f>
        <v/>
      </c>
      <c r="E23" s="21" t="n">
        <v>2</v>
      </c>
      <c r="F23" s="21" t="n">
        <v>2</v>
      </c>
      <c r="G23" s="21" t="n">
        <v>5</v>
      </c>
      <c r="H23" s="18">
        <f>IF(COUNT(E23:G23)&lt;3,"",ROUND(IF(OR(E23=1,F23=1),MIN('Les meg'!$C$25,E23*'Les meg'!$C$21+F23*'Les meg'!$C$22+G23*'Les meg'!$C$23),E23*'Les meg'!$C$21+F23*'Les meg'!$C$22+G23*'Les meg'!$C$23),1))</f>
        <v/>
      </c>
      <c r="I23" s="21" t="n">
        <v>30.6</v>
      </c>
      <c r="J23" s="21" t="n">
        <v>625</v>
      </c>
      <c r="K23" s="21" t="inlineStr">
        <is>
          <t>Monsun, mest regn i Yangon/Inle.</t>
        </is>
      </c>
    </row>
    <row r="24">
      <c r="A24" s="21" t="inlineStr">
        <is>
          <t>MMR</t>
        </is>
      </c>
      <c r="B24" s="5">
        <f>IFERROR(INDEX(Destinasjoner!$E$5:$E$64,MATCH(A24,Destinasjoner!$A$5:$A$64,0)),"")</f>
        <v/>
      </c>
      <c r="C24" s="21" t="n">
        <v>8</v>
      </c>
      <c r="D24" s="5">
        <f>IF(C24="","",CHOOSE(C24,"jan","feb","mar","apr","mai","jun","jul","aug","sep","okt","nov","des"))</f>
        <v/>
      </c>
      <c r="E24" s="21" t="n">
        <v>2</v>
      </c>
      <c r="F24" s="21" t="n">
        <v>2</v>
      </c>
      <c r="G24" s="21" t="n">
        <v>5</v>
      </c>
      <c r="H24" s="18">
        <f>IF(COUNT(E24:G24)&lt;3,"",ROUND(IF(OR(E24=1,F24=1),MIN('Les meg'!$C$25,E24*'Les meg'!$C$21+F24*'Les meg'!$C$22+G24*'Les meg'!$C$23),E24*'Les meg'!$C$21+F24*'Les meg'!$C$22+G24*'Les meg'!$C$23),1))</f>
        <v/>
      </c>
      <c r="I24" s="21" t="n">
        <v>30.3</v>
      </c>
      <c r="J24" s="21" t="n">
        <v>562</v>
      </c>
      <c r="K24" s="21" t="inlineStr">
        <is>
          <t>Monsun.</t>
        </is>
      </c>
    </row>
    <row r="25">
      <c r="A25" s="21" t="inlineStr">
        <is>
          <t>MMR</t>
        </is>
      </c>
      <c r="B25" s="5">
        <f>IFERROR(INDEX(Destinasjoner!$E$5:$E$64,MATCH(A25,Destinasjoner!$A$5:$A$64,0)),"")</f>
        <v/>
      </c>
      <c r="C25" s="21" t="n">
        <v>9</v>
      </c>
      <c r="D25" s="5">
        <f>IF(C25="","",CHOOSE(C25,"jan","feb","mar","apr","mai","jun","jul","aug","sep","okt","nov","des"))</f>
        <v/>
      </c>
      <c r="E25" s="21" t="n">
        <v>2</v>
      </c>
      <c r="F25" s="21" t="n">
        <v>3</v>
      </c>
      <c r="G25" s="21" t="n">
        <v>5</v>
      </c>
      <c r="H25" s="18">
        <f>IF(COUNT(E25:G25)&lt;3,"",ROUND(IF(OR(E25=1,F25=1),MIN('Les meg'!$C$25,E25*'Les meg'!$C$21+F25*'Les meg'!$C$22+G25*'Les meg'!$C$23),E25*'Les meg'!$C$21+F25*'Les meg'!$C$22+G25*'Les meg'!$C$23),1))</f>
        <v/>
      </c>
      <c r="I25" s="21" t="n">
        <v>31.3</v>
      </c>
      <c r="J25" s="21" t="n">
        <v>427</v>
      </c>
      <c r="K25" s="21" t="inlineStr">
        <is>
          <t>Monsun avtar mot slutten.</t>
        </is>
      </c>
    </row>
    <row r="26">
      <c r="A26" s="21" t="inlineStr">
        <is>
          <t>MMR</t>
        </is>
      </c>
      <c r="B26" s="5">
        <f>IFERROR(INDEX(Destinasjoner!$E$5:$E$64,MATCH(A26,Destinasjoner!$A$5:$A$64,0)),"")</f>
        <v/>
      </c>
      <c r="C26" s="21" t="n">
        <v>10</v>
      </c>
      <c r="D26" s="5">
        <f>IF(C26="","",CHOOSE(C26,"jan","feb","mar","apr","mai","jun","jul","aug","sep","okt","nov","des"))</f>
        <v/>
      </c>
      <c r="E26" s="21" t="n">
        <v>3</v>
      </c>
      <c r="F26" s="21" t="n">
        <v>4</v>
      </c>
      <c r="G26" s="21" t="n">
        <v>4</v>
      </c>
      <c r="H26" s="18">
        <f>IF(COUNT(E26:G26)&lt;3,"",ROUND(IF(OR(E26=1,F26=1),MIN('Les meg'!$C$25,E26*'Les meg'!$C$21+F26*'Les meg'!$C$22+G26*'Les meg'!$C$23),E26*'Les meg'!$C$21+F26*'Les meg'!$C$22+G26*'Les meg'!$C$23),1))</f>
        <v/>
      </c>
      <c r="I26" s="21" t="n">
        <v>32.7</v>
      </c>
      <c r="J26" s="21" t="n">
        <v>217</v>
      </c>
      <c r="K26" s="21" t="inlineStr">
        <is>
          <t>Regnet avtar, grønt. Ballonger fra oktober. Thadingyut (lysfest).</t>
        </is>
      </c>
    </row>
    <row r="27">
      <c r="A27" s="21" t="inlineStr">
        <is>
          <t>MMR</t>
        </is>
      </c>
      <c r="B27" s="5">
        <f>IFERROR(INDEX(Destinasjoner!$E$5:$E$64,MATCH(A27,Destinasjoner!$A$5:$A$64,0)),"")</f>
        <v/>
      </c>
      <c r="C27" s="21" t="n">
        <v>11</v>
      </c>
      <c r="D27" s="5">
        <f>IF(C27="","",CHOOSE(C27,"jan","feb","mar","apr","mai","jun","jul","aug","sep","okt","nov","des"))</f>
        <v/>
      </c>
      <c r="E27" s="21" t="n">
        <v>5</v>
      </c>
      <c r="F27" s="21" t="n">
        <v>5</v>
      </c>
      <c r="G27" s="21" t="n">
        <v>3</v>
      </c>
      <c r="H27" s="18">
        <f>IF(COUNT(E27:G27)&lt;3,"",ROUND(IF(OR(E27=1,F27=1),MIN('Les meg'!$C$25,E27*'Les meg'!$C$21+F27*'Les meg'!$C$22+G27*'Les meg'!$C$23),E27*'Les meg'!$C$21+F27*'Les meg'!$C$22+G27*'Les meg'!$C$23),1))</f>
        <v/>
      </c>
      <c r="I27" s="21" t="n">
        <v>33.6</v>
      </c>
      <c r="J27" s="21" t="n">
        <v>53</v>
      </c>
      <c r="K27" s="21" t="inlineStr">
        <is>
          <t>Tørt og grønt. Tazaungdaing (lysfest, fullmåne).</t>
        </is>
      </c>
    </row>
    <row r="28">
      <c r="A28" s="21" t="inlineStr">
        <is>
          <t>MMR</t>
        </is>
      </c>
      <c r="B28" s="5">
        <f>IFERROR(INDEX(Destinasjoner!$E$5:$E$64,MATCH(A28,Destinasjoner!$A$5:$A$64,0)),"")</f>
        <v/>
      </c>
      <c r="C28" s="21" t="n">
        <v>12</v>
      </c>
      <c r="D28" s="5">
        <f>IF(C28="","",CHOOSE(C28,"jan","feb","mar","apr","mai","jun","jul","aug","sep","okt","nov","des"))</f>
        <v/>
      </c>
      <c r="E28" s="21" t="n">
        <v>5</v>
      </c>
      <c r="F28" s="21" t="n">
        <v>5</v>
      </c>
      <c r="G28" s="21" t="n">
        <v>2</v>
      </c>
      <c r="H28" s="18">
        <f>IF(COUNT(E28:G28)&lt;3,"",ROUND(IF(OR(E28=1,F28=1),MIN('Les meg'!$C$25,E28*'Les meg'!$C$21+F28*'Les meg'!$C$22+G28*'Les meg'!$C$23),E28*'Les meg'!$C$21+F28*'Les meg'!$C$22+G28*'Les meg'!$C$23),1))</f>
        <v/>
      </c>
      <c r="I28" s="21" t="n">
        <v>32.9</v>
      </c>
      <c r="J28" s="21" t="n">
        <v>9</v>
      </c>
      <c r="K28" s="21" t="inlineStr">
        <is>
          <t>Tørt, behagelig. Høysesong.</t>
        </is>
      </c>
    </row>
    <row r="29">
      <c r="A29" s="21" t="inlineStr">
        <is>
          <t>LAO</t>
        </is>
      </c>
      <c r="B29" s="5">
        <f>IFERROR(INDEX(Destinasjoner!$E$5:$E$64,MATCH(A29,Destinasjoner!$A$5:$A$64,0)),"")</f>
        <v/>
      </c>
      <c r="C29" s="21" t="n">
        <v>1</v>
      </c>
      <c r="D29" s="5">
        <f>IF(C29="","",CHOOSE(C29,"jan","feb","mar","apr","mai","jun","jul","aug","sep","okt","nov","des"))</f>
        <v/>
      </c>
      <c r="E29" s="21" t="n">
        <v>5</v>
      </c>
      <c r="F29" s="21" t="n">
        <v>5</v>
      </c>
      <c r="G29" s="21" t="n">
        <v>2</v>
      </c>
      <c r="H29" s="18">
        <f>IF(COUNT(E29:G29)&lt;3,"",ROUND(IF(OR(E29=1,F29=1),MIN('Les meg'!$C$25,E29*'Les meg'!$C$21+F29*'Les meg'!$C$22+G29*'Les meg'!$C$23),E29*'Les meg'!$C$21+F29*'Les meg'!$C$22+G29*'Les meg'!$C$23),1))</f>
        <v/>
      </c>
      <c r="I29" s="21" t="n">
        <v>28.4</v>
      </c>
      <c r="J29" s="21" t="n">
        <v>17</v>
      </c>
      <c r="K29" s="21" t="inlineStr">
        <is>
          <t>Tørt og behagelig; tåke over Mekong om morgenen. Høysesong.</t>
        </is>
      </c>
    </row>
    <row r="30">
      <c r="A30" s="21" t="inlineStr">
        <is>
          <t>LAO</t>
        </is>
      </c>
      <c r="B30" s="5">
        <f>IFERROR(INDEX(Destinasjoner!$E$5:$E$64,MATCH(A30,Destinasjoner!$A$5:$A$64,0)),"")</f>
        <v/>
      </c>
      <c r="C30" s="21" t="n">
        <v>2</v>
      </c>
      <c r="D30" s="5">
        <f>IF(C30="","",CHOOSE(C30,"jan","feb","mar","apr","mai","jun","jul","aug","sep","okt","nov","des"))</f>
        <v/>
      </c>
      <c r="E30" s="21" t="n">
        <v>4</v>
      </c>
      <c r="F30" s="21" t="n">
        <v>5</v>
      </c>
      <c r="G30" s="21" t="n">
        <v>3</v>
      </c>
      <c r="H30" s="18">
        <f>IF(COUNT(E30:G30)&lt;3,"",ROUND(IF(OR(E30=1,F30=1),MIN('Les meg'!$C$25,E30*'Les meg'!$C$21+F30*'Les meg'!$C$22+G30*'Les meg'!$C$23),E30*'Les meg'!$C$21+F30*'Les meg'!$C$22+G30*'Les meg'!$C$23),1))</f>
        <v/>
      </c>
      <c r="I30" s="21" t="n">
        <v>31.7</v>
      </c>
      <c r="J30" s="21" t="n">
        <v>12</v>
      </c>
      <c r="K30" s="21" t="inlineStr">
        <is>
          <t>Varmere; begynnende dis fra svedjebruk.</t>
        </is>
      </c>
    </row>
    <row r="31">
      <c r="A31" s="21" t="inlineStr">
        <is>
          <t>LAO</t>
        </is>
      </c>
      <c r="B31" s="5">
        <f>IFERROR(INDEX(Destinasjoner!$E$5:$E$64,MATCH(A31,Destinasjoner!$A$5:$A$64,0)),"")</f>
        <v/>
      </c>
      <c r="C31" s="21" t="n">
        <v>3</v>
      </c>
      <c r="D31" s="5">
        <f>IF(C31="","",CHOOSE(C31,"jan","feb","mar","apr","mai","jun","jul","aug","sep","okt","nov","des"))</f>
        <v/>
      </c>
      <c r="E31" s="21" t="n">
        <v>2</v>
      </c>
      <c r="F31" s="21" t="n">
        <v>3</v>
      </c>
      <c r="G31" s="21" t="n">
        <v>4</v>
      </c>
      <c r="H31" s="18">
        <f>IF(COUNT(E31:G31)&lt;3,"",ROUND(IF(OR(E31=1,F31=1),MIN('Les meg'!$C$25,E31*'Les meg'!$C$21+F31*'Les meg'!$C$22+G31*'Les meg'!$C$23),E31*'Les meg'!$C$21+F31*'Les meg'!$C$22+G31*'Les meg'!$C$23),1))</f>
        <v/>
      </c>
      <c r="I31" s="21" t="n">
        <v>34.1</v>
      </c>
      <c r="J31" s="21" t="n">
        <v>52</v>
      </c>
      <c r="K31" s="21" t="inlineStr">
        <is>
          <t>Røyk/dis fra svedjebruk (dårlig luft og utsikt), 34 °C.</t>
        </is>
      </c>
    </row>
    <row r="32">
      <c r="A32" s="21" t="inlineStr">
        <is>
          <t>LAO</t>
        </is>
      </c>
      <c r="B32" s="5">
        <f>IFERROR(INDEX(Destinasjoner!$E$5:$E$64,MATCH(A32,Destinasjoner!$A$5:$A$64,0)),"")</f>
        <v/>
      </c>
      <c r="C32" s="21" t="n">
        <v>4</v>
      </c>
      <c r="D32" s="5">
        <f>IF(C32="","",CHOOSE(C32,"jan","feb","mar","apr","mai","jun","jul","aug","sep","okt","nov","des"))</f>
        <v/>
      </c>
      <c r="E32" s="21" t="n">
        <v>2</v>
      </c>
      <c r="F32" s="21" t="n">
        <v>3</v>
      </c>
      <c r="G32" s="21" t="n">
        <v>4</v>
      </c>
      <c r="H32" s="18">
        <f>IF(COUNT(E32:G32)&lt;3,"",ROUND(IF(OR(E32=1,F32=1),MIN('Les meg'!$C$25,E32*'Les meg'!$C$21+F32*'Les meg'!$C$22+G32*'Les meg'!$C$23),E32*'Les meg'!$C$21+F32*'Les meg'!$C$22+G32*'Les meg'!$C$23),1))</f>
        <v/>
      </c>
      <c r="I32" s="21" t="n">
        <v>35.2</v>
      </c>
      <c r="J32" s="21" t="n">
        <v>102</v>
      </c>
      <c r="K32" s="21" t="inlineStr">
        <is>
          <t>Hetest, fortsatt røyk. Pi Mai (se Vinduer).</t>
        </is>
      </c>
    </row>
    <row r="33">
      <c r="A33" s="21" t="inlineStr">
        <is>
          <t>LAO</t>
        </is>
      </c>
      <c r="B33" s="5">
        <f>IFERROR(INDEX(Destinasjoner!$E$5:$E$64,MATCH(A33,Destinasjoner!$A$5:$A$64,0)),"")</f>
        <v/>
      </c>
      <c r="C33" s="21" t="n">
        <v>5</v>
      </c>
      <c r="D33" s="5">
        <f>IF(C33="","",CHOOSE(C33,"jan","feb","mar","apr","mai","jun","jul","aug","sep","okt","nov","des"))</f>
        <v/>
      </c>
      <c r="E33" s="21" t="n">
        <v>3</v>
      </c>
      <c r="F33" s="21" t="n">
        <v>3</v>
      </c>
      <c r="G33" s="21" t="n">
        <v>5</v>
      </c>
      <c r="H33" s="18">
        <f>IF(COUNT(E33:G33)&lt;3,"",ROUND(IF(OR(E33=1,F33=1),MIN('Les meg'!$C$25,E33*'Les meg'!$C$21+F33*'Les meg'!$C$22+G33*'Les meg'!$C$23),E33*'Les meg'!$C$21+F33*'Les meg'!$C$22+G33*'Les meg'!$C$23),1))</f>
        <v/>
      </c>
      <c r="I33" s="21" t="n">
        <v>34.6</v>
      </c>
      <c r="J33" s="21" t="n">
        <v>161</v>
      </c>
      <c r="K33" s="21" t="inlineStr">
        <is>
          <t>Regnet starter og rydder luften.</t>
        </is>
      </c>
    </row>
    <row r="34">
      <c r="A34" s="21" t="inlineStr">
        <is>
          <t>LAO</t>
        </is>
      </c>
      <c r="B34" s="5">
        <f>IFERROR(INDEX(Destinasjoner!$E$5:$E$64,MATCH(A34,Destinasjoner!$A$5:$A$64,0)),"")</f>
        <v/>
      </c>
      <c r="C34" s="21" t="n">
        <v>6</v>
      </c>
      <c r="D34" s="5">
        <f>IF(C34="","",CHOOSE(C34,"jan","feb","mar","apr","mai","jun","jul","aug","sep","okt","nov","des"))</f>
        <v/>
      </c>
      <c r="E34" s="21" t="n">
        <v>3</v>
      </c>
      <c r="F34" s="21" t="n">
        <v>3</v>
      </c>
      <c r="G34" s="21" t="n">
        <v>5</v>
      </c>
      <c r="H34" s="18">
        <f>IF(COUNT(E34:G34)&lt;3,"",ROUND(IF(OR(E34=1,F34=1),MIN('Les meg'!$C$25,E34*'Les meg'!$C$21+F34*'Les meg'!$C$22+G34*'Les meg'!$C$23),E34*'Les meg'!$C$21+F34*'Les meg'!$C$22+G34*'Les meg'!$C$23),1))</f>
        <v/>
      </c>
      <c r="I34" s="21" t="n">
        <v>33.5</v>
      </c>
      <c r="J34" s="21" t="n">
        <v>200</v>
      </c>
      <c r="K34" s="21" t="inlineStr">
        <is>
          <t>Regntid, grønt, byger. Fossene fulle.</t>
        </is>
      </c>
    </row>
    <row r="35">
      <c r="A35" s="21" t="inlineStr">
        <is>
          <t>LAO</t>
        </is>
      </c>
      <c r="B35" s="5">
        <f>IFERROR(INDEX(Destinasjoner!$E$5:$E$64,MATCH(A35,Destinasjoner!$A$5:$A$64,0)),"")</f>
        <v/>
      </c>
      <c r="C35" s="21" t="n">
        <v>7</v>
      </c>
      <c r="D35" s="5">
        <f>IF(C35="","",CHOOSE(C35,"jan","feb","mar","apr","mai","jun","jul","aug","sep","okt","nov","des"))</f>
        <v/>
      </c>
      <c r="E35" s="21" t="n">
        <v>2</v>
      </c>
      <c r="F35" s="21" t="n">
        <v>3</v>
      </c>
      <c r="G35" s="21" t="n">
        <v>5</v>
      </c>
      <c r="H35" s="18">
        <f>IF(COUNT(E35:G35)&lt;3,"",ROUND(IF(OR(E35=1,F35=1),MIN('Les meg'!$C$25,E35*'Les meg'!$C$21+F35*'Les meg'!$C$22+G35*'Les meg'!$C$23),E35*'Les meg'!$C$21+F35*'Les meg'!$C$22+G35*'Les meg'!$C$23),1))</f>
        <v/>
      </c>
      <c r="I35" s="21" t="n">
        <v>32.2</v>
      </c>
      <c r="J35" s="21" t="n">
        <v>283</v>
      </c>
      <c r="K35" s="21" t="inlineStr">
        <is>
          <t>Regntid, gjørmete stier.</t>
        </is>
      </c>
    </row>
    <row r="36">
      <c r="A36" s="21" t="inlineStr">
        <is>
          <t>LAO</t>
        </is>
      </c>
      <c r="B36" s="5">
        <f>IFERROR(INDEX(Destinasjoner!$E$5:$E$64,MATCH(A36,Destinasjoner!$A$5:$A$64,0)),"")</f>
        <v/>
      </c>
      <c r="C36" s="21" t="n">
        <v>8</v>
      </c>
      <c r="D36" s="5">
        <f>IF(C36="","",CHOOSE(C36,"jan","feb","mar","apr","mai","jun","jul","aug","sep","okt","nov","des"))</f>
        <v/>
      </c>
      <c r="E36" s="21" t="n">
        <v>2</v>
      </c>
      <c r="F36" s="21" t="n">
        <v>3</v>
      </c>
      <c r="G36" s="21" t="n">
        <v>5</v>
      </c>
      <c r="H36" s="18">
        <f>IF(COUNT(E36:G36)&lt;3,"",ROUND(IF(OR(E36=1,F36=1),MIN('Les meg'!$C$25,E36*'Les meg'!$C$21+F36*'Les meg'!$C$22+G36*'Les meg'!$C$23),E36*'Les meg'!$C$21+F36*'Les meg'!$C$22+G36*'Les meg'!$C$23),1))</f>
        <v/>
      </c>
      <c r="I36" s="21" t="n">
        <v>32</v>
      </c>
      <c r="J36" s="21" t="n">
        <v>329</v>
      </c>
      <c r="K36" s="21" t="inlineStr">
        <is>
          <t>Mest regn.</t>
        </is>
      </c>
    </row>
    <row r="37">
      <c r="A37" s="21" t="inlineStr">
        <is>
          <t>LAO</t>
        </is>
      </c>
      <c r="B37" s="5">
        <f>IFERROR(INDEX(Destinasjoner!$E$5:$E$64,MATCH(A37,Destinasjoner!$A$5:$A$64,0)),"")</f>
        <v/>
      </c>
      <c r="C37" s="21" t="n">
        <v>9</v>
      </c>
      <c r="D37" s="5">
        <f>IF(C37="","",CHOOSE(C37,"jan","feb","mar","apr","mai","jun","jul","aug","sep","okt","nov","des"))</f>
        <v/>
      </c>
      <c r="E37" s="21" t="n">
        <v>3</v>
      </c>
      <c r="F37" s="21" t="n">
        <v>3</v>
      </c>
      <c r="G37" s="21" t="n">
        <v>5</v>
      </c>
      <c r="H37" s="18">
        <f>IF(COUNT(E37:G37)&lt;3,"",ROUND(IF(OR(E37=1,F37=1),MIN('Les meg'!$C$25,E37*'Les meg'!$C$21+F37*'Les meg'!$C$22+G37*'Les meg'!$C$23),E37*'Les meg'!$C$21+F37*'Les meg'!$C$22+G37*'Les meg'!$C$23),1))</f>
        <v/>
      </c>
      <c r="I37" s="21" t="n">
        <v>32.5</v>
      </c>
      <c r="J37" s="21" t="n">
        <v>177</v>
      </c>
      <c r="K37" s="21" t="inlineStr">
        <is>
          <t>Regnet avtar.</t>
        </is>
      </c>
    </row>
    <row r="38">
      <c r="A38" s="21" t="inlineStr">
        <is>
          <t>LAO</t>
        </is>
      </c>
      <c r="B38" s="5">
        <f>IFERROR(INDEX(Destinasjoner!$E$5:$E$64,MATCH(A38,Destinasjoner!$A$5:$A$64,0)),"")</f>
        <v/>
      </c>
      <c r="C38" s="21" t="n">
        <v>10</v>
      </c>
      <c r="D38" s="5">
        <f>IF(C38="","",CHOOSE(C38,"jan","feb","mar","apr","mai","jun","jul","aug","sep","okt","nov","des"))</f>
        <v/>
      </c>
      <c r="E38" s="21" t="n">
        <v>4</v>
      </c>
      <c r="F38" s="21" t="n">
        <v>4</v>
      </c>
      <c r="G38" s="21" t="n">
        <v>3</v>
      </c>
      <c r="H38" s="18">
        <f>IF(COUNT(E38:G38)&lt;3,"",ROUND(IF(OR(E38=1,F38=1),MIN('Les meg'!$C$25,E38*'Les meg'!$C$21+F38*'Les meg'!$C$22+G38*'Les meg'!$C$23),E38*'Les meg'!$C$21+F38*'Les meg'!$C$22+G38*'Les meg'!$C$23),1))</f>
        <v/>
      </c>
      <c r="I38" s="21" t="n">
        <v>31.9</v>
      </c>
      <c r="J38" s="21" t="n">
        <v>87</v>
      </c>
      <c r="K38" s="21" t="inlineStr">
        <is>
          <t>Regntiden slutter, grønt landskap. Boun Ok Phansa/båtfestival.</t>
        </is>
      </c>
    </row>
    <row r="39">
      <c r="A39" s="21" t="inlineStr">
        <is>
          <t>LAO</t>
        </is>
      </c>
      <c r="B39" s="5">
        <f>IFERROR(INDEX(Destinasjoner!$E$5:$E$64,MATCH(A39,Destinasjoner!$A$5:$A$64,0)),"")</f>
        <v/>
      </c>
      <c r="C39" s="21" t="n">
        <v>11</v>
      </c>
      <c r="D39" s="5">
        <f>IF(C39="","",CHOOSE(C39,"jan","feb","mar","apr","mai","jun","jul","aug","sep","okt","nov","des"))</f>
        <v/>
      </c>
      <c r="E39" s="21" t="n">
        <v>5</v>
      </c>
      <c r="F39" s="21" t="n">
        <v>5</v>
      </c>
      <c r="G39" s="21" t="n">
        <v>2</v>
      </c>
      <c r="H39" s="18">
        <f>IF(COUNT(E39:G39)&lt;3,"",ROUND(IF(OR(E39=1,F39=1),MIN('Les meg'!$C$25,E39*'Les meg'!$C$21+F39*'Les meg'!$C$22+G39*'Les meg'!$C$23),E39*'Les meg'!$C$21+F39*'Les meg'!$C$22+G39*'Les meg'!$C$23),1))</f>
        <v/>
      </c>
      <c r="I39" s="21" t="n">
        <v>29.9</v>
      </c>
      <c r="J39" s="21" t="n">
        <v>27</v>
      </c>
      <c r="K39" s="21" t="inlineStr">
        <is>
          <t>Tørt, klart, behagelig.</t>
        </is>
      </c>
    </row>
    <row r="40">
      <c r="A40" s="21" t="inlineStr">
        <is>
          <t>LAO</t>
        </is>
      </c>
      <c r="B40" s="5">
        <f>IFERROR(INDEX(Destinasjoner!$E$5:$E$64,MATCH(A40,Destinasjoner!$A$5:$A$64,0)),"")</f>
        <v/>
      </c>
      <c r="C40" s="21" t="n">
        <v>12</v>
      </c>
      <c r="D40" s="5">
        <f>IF(C40="","",CHOOSE(C40,"jan","feb","mar","apr","mai","jun","jul","aug","sep","okt","nov","des"))</f>
        <v/>
      </c>
      <c r="E40" s="21" t="n">
        <v>5</v>
      </c>
      <c r="F40" s="21" t="n">
        <v>5</v>
      </c>
      <c r="G40" s="21" t="n">
        <v>2</v>
      </c>
      <c r="H40" s="18">
        <f>IF(COUNT(E40:G40)&lt;3,"",ROUND(IF(OR(E40=1,F40=1),MIN('Les meg'!$C$25,E40*'Les meg'!$C$21+F40*'Les meg'!$C$22+G40*'Les meg'!$C$23),E40*'Les meg'!$C$21+F40*'Les meg'!$C$22+G40*'Les meg'!$C$23),1))</f>
        <v/>
      </c>
      <c r="I40" s="21" t="n">
        <v>27.4</v>
      </c>
      <c r="J40" s="21" t="n">
        <v>26</v>
      </c>
      <c r="K40" s="21" t="inlineStr">
        <is>
          <t>Kjølige morgener. Høysesong.</t>
        </is>
      </c>
    </row>
    <row r="41">
      <c r="A41" s="21" t="inlineStr">
        <is>
          <t>NPL</t>
        </is>
      </c>
      <c r="B41" s="5">
        <f>IFERROR(INDEX(Destinasjoner!$E$5:$E$64,MATCH(A41,Destinasjoner!$A$5:$A$64,0)),"")</f>
        <v/>
      </c>
      <c r="C41" s="21" t="n">
        <v>1</v>
      </c>
      <c r="D41" s="5">
        <f>IF(C41="","",CHOOSE(C41,"jan","feb","mar","apr","mai","jun","jul","aug","sep","okt","nov","des"))</f>
        <v/>
      </c>
      <c r="E41" s="21" t="n">
        <v>4</v>
      </c>
      <c r="F41" s="21" t="n">
        <v>4</v>
      </c>
      <c r="G41" s="21" t="n">
        <v>4</v>
      </c>
      <c r="H41" s="18">
        <f>IF(COUNT(E41:G41)&lt;3,"",ROUND(IF(OR(E41=1,F41=1),MIN('Les meg'!$C$25,E41*'Les meg'!$C$21+F41*'Les meg'!$C$22+G41*'Les meg'!$C$23),E41*'Les meg'!$C$21+F41*'Les meg'!$C$22+G41*'Les meg'!$C$23),1))</f>
        <v/>
      </c>
      <c r="I41" s="21" t="n">
        <v>19.9</v>
      </c>
      <c r="J41" s="21" t="n">
        <v>22</v>
      </c>
      <c r="K41" s="21" t="inlineStr">
        <is>
          <t>Klart og kaldt, gode fjellutsikter. Trekking under ~4000 m.</t>
        </is>
      </c>
    </row>
    <row r="42">
      <c r="A42" s="21" t="inlineStr">
        <is>
          <t>NPL</t>
        </is>
      </c>
      <c r="B42" s="5">
        <f>IFERROR(INDEX(Destinasjoner!$E$5:$E$64,MATCH(A42,Destinasjoner!$A$5:$A$64,0)),"")</f>
        <v/>
      </c>
      <c r="C42" s="21" t="n">
        <v>2</v>
      </c>
      <c r="D42" s="5">
        <f>IF(C42="","",CHOOSE(C42,"jan","feb","mar","apr","mai","jun","jul","aug","sep","okt","nov","des"))</f>
        <v/>
      </c>
      <c r="E42" s="21" t="n">
        <v>4</v>
      </c>
      <c r="F42" s="21" t="n">
        <v>4</v>
      </c>
      <c r="G42" s="21" t="n">
        <v>4</v>
      </c>
      <c r="H42" s="18">
        <f>IF(COUNT(E42:G42)&lt;3,"",ROUND(IF(OR(E42=1,F42=1),MIN('Les meg'!$C$25,E42*'Les meg'!$C$21+F42*'Les meg'!$C$22+G42*'Les meg'!$C$23),E42*'Les meg'!$C$21+F42*'Les meg'!$C$22+G42*'Les meg'!$C$23),1))</f>
        <v/>
      </c>
      <c r="I42" s="21" t="n">
        <v>22.7</v>
      </c>
      <c r="J42" s="21" t="n">
        <v>35</v>
      </c>
      <c r="K42" s="21" t="inlineStr">
        <is>
          <t>Klart, mildere dager.</t>
        </is>
      </c>
    </row>
    <row r="43">
      <c r="A43" s="21" t="inlineStr">
        <is>
          <t>NPL</t>
        </is>
      </c>
      <c r="B43" s="5">
        <f>IFERROR(INDEX(Destinasjoner!$E$5:$E$64,MATCH(A43,Destinasjoner!$A$5:$A$64,0)),"")</f>
        <v/>
      </c>
      <c r="C43" s="21" t="n">
        <v>3</v>
      </c>
      <c r="D43" s="5">
        <f>IF(C43="","",CHOOSE(C43,"jan","feb","mar","apr","mai","jun","jul","aug","sep","okt","nov","des"))</f>
        <v/>
      </c>
      <c r="E43" s="21" t="n">
        <v>4</v>
      </c>
      <c r="F43" s="21" t="n">
        <v>5</v>
      </c>
      <c r="G43" s="21" t="n">
        <v>3</v>
      </c>
      <c r="H43" s="18">
        <f>IF(COUNT(E43:G43)&lt;3,"",ROUND(IF(OR(E43=1,F43=1),MIN('Les meg'!$C$25,E43*'Les meg'!$C$21+F43*'Les meg'!$C$22+G43*'Les meg'!$C$23),E43*'Les meg'!$C$21+F43*'Les meg'!$C$22+G43*'Les meg'!$C$23),1))</f>
        <v/>
      </c>
      <c r="I43" s="21" t="n">
        <v>27.1</v>
      </c>
      <c r="J43" s="21" t="n">
        <v>64</v>
      </c>
      <c r="K43" s="21" t="inlineStr">
        <is>
          <t>Vår: rhododendron, varmere. Økende dis.</t>
        </is>
      </c>
    </row>
    <row r="44">
      <c r="A44" s="21" t="inlineStr">
        <is>
          <t>NPL</t>
        </is>
      </c>
      <c r="B44" s="5">
        <f>IFERROR(INDEX(Destinasjoner!$E$5:$E$64,MATCH(A44,Destinasjoner!$A$5:$A$64,0)),"")</f>
        <v/>
      </c>
      <c r="C44" s="21" t="n">
        <v>4</v>
      </c>
      <c r="D44" s="5">
        <f>IF(C44="","",CHOOSE(C44,"jan","feb","mar","apr","mai","jun","jul","aug","sep","okt","nov","des"))</f>
        <v/>
      </c>
      <c r="E44" s="21" t="n">
        <v>4</v>
      </c>
      <c r="F44" s="21" t="n">
        <v>5</v>
      </c>
      <c r="G44" s="21" t="n">
        <v>2</v>
      </c>
      <c r="H44" s="18">
        <f>IF(COUNT(E44:G44)&lt;3,"",ROUND(IF(OR(E44=1,F44=1),MIN('Les meg'!$C$25,E44*'Les meg'!$C$21+F44*'Les meg'!$C$22+G44*'Les meg'!$C$23),E44*'Les meg'!$C$21+F44*'Les meg'!$C$22+G44*'Les meg'!$C$23),1))</f>
        <v/>
      </c>
      <c r="I44" s="21" t="n">
        <v>30</v>
      </c>
      <c r="J44" s="21" t="n">
        <v>142</v>
      </c>
      <c r="K44" s="21" t="inlineStr">
        <is>
          <t>Vår-toppsesong. Mer dis over fjellene, ettermiddagsbyger.</t>
        </is>
      </c>
    </row>
    <row r="45">
      <c r="A45" s="21" t="inlineStr">
        <is>
          <t>NPL</t>
        </is>
      </c>
      <c r="B45" s="5">
        <f>IFERROR(INDEX(Destinasjoner!$E$5:$E$64,MATCH(A45,Destinasjoner!$A$5:$A$64,0)),"")</f>
        <v/>
      </c>
      <c r="C45" s="21" t="n">
        <v>5</v>
      </c>
      <c r="D45" s="5">
        <f>IF(C45="","",CHOOSE(C45,"jan","feb","mar","apr","mai","jun","jul","aug","sep","okt","nov","des"))</f>
        <v/>
      </c>
      <c r="E45" s="21" t="n">
        <v>3</v>
      </c>
      <c r="F45" s="21" t="n">
        <v>3</v>
      </c>
      <c r="G45" s="21" t="n">
        <v>4</v>
      </c>
      <c r="H45" s="18">
        <f>IF(COUNT(E45:G45)&lt;3,"",ROUND(IF(OR(E45=1,F45=1),MIN('Les meg'!$C$25,E45*'Les meg'!$C$21+F45*'Les meg'!$C$22+G45*'Les meg'!$C$23),E45*'Les meg'!$C$21+F45*'Les meg'!$C$22+G45*'Les meg'!$C$23),1))</f>
        <v/>
      </c>
      <c r="I45" s="21" t="n">
        <v>30.4</v>
      </c>
      <c r="J45" s="21" t="n">
        <v>355</v>
      </c>
      <c r="K45" s="21" t="inlineStr">
        <is>
          <t>Varmt, dis, pre-monsun byger.</t>
        </is>
      </c>
    </row>
    <row r="46">
      <c r="A46" s="21" t="inlineStr">
        <is>
          <t>NPL</t>
        </is>
      </c>
      <c r="B46" s="5">
        <f>IFERROR(INDEX(Destinasjoner!$E$5:$E$64,MATCH(A46,Destinasjoner!$A$5:$A$64,0)),"")</f>
        <v/>
      </c>
      <c r="C46" s="21" t="n">
        <v>6</v>
      </c>
      <c r="D46" s="5">
        <f>IF(C46="","",CHOOSE(C46,"jan","feb","mar","apr","mai","jun","jul","aug","sep","okt","nov","des"))</f>
        <v/>
      </c>
      <c r="E46" s="21" t="n">
        <v>1</v>
      </c>
      <c r="F46" s="21" t="n">
        <v>2</v>
      </c>
      <c r="G46" s="21" t="n">
        <v>5</v>
      </c>
      <c r="H46" s="18">
        <f>IF(COUNT(E46:G46)&lt;3,"",ROUND(IF(OR(E46=1,F46=1),MIN('Les meg'!$C$25,E46*'Les meg'!$C$21+F46*'Les meg'!$C$22+G46*'Les meg'!$C$23),E46*'Les meg'!$C$21+F46*'Les meg'!$C$22+G46*'Les meg'!$C$23),1))</f>
        <v/>
      </c>
      <c r="I46" s="21" t="n">
        <v>30.8</v>
      </c>
      <c r="J46" s="21" t="n">
        <v>648</v>
      </c>
      <c r="K46" s="21" t="inlineStr">
        <is>
          <t>Monsun: fjellene skjult, jordras, igler.</t>
        </is>
      </c>
    </row>
    <row r="47">
      <c r="A47" s="21" t="inlineStr">
        <is>
          <t>NPL</t>
        </is>
      </c>
      <c r="B47" s="5">
        <f>IFERROR(INDEX(Destinasjoner!$E$5:$E$64,MATCH(A47,Destinasjoner!$A$5:$A$64,0)),"")</f>
        <v/>
      </c>
      <c r="C47" s="21" t="n">
        <v>7</v>
      </c>
      <c r="D47" s="5">
        <f>IF(C47="","",CHOOSE(C47,"jan","feb","mar","apr","mai","jun","jul","aug","sep","okt","nov","des"))</f>
        <v/>
      </c>
      <c r="E47" s="21" t="n">
        <v>1</v>
      </c>
      <c r="F47" s="21" t="n">
        <v>2</v>
      </c>
      <c r="G47" s="21" t="n">
        <v>5</v>
      </c>
      <c r="H47" s="18">
        <f>IF(COUNT(E47:G47)&lt;3,"",ROUND(IF(OR(E47=1,F47=1),MIN('Les meg'!$C$25,E47*'Les meg'!$C$21+F47*'Les meg'!$C$22+G47*'Les meg'!$C$23),E47*'Les meg'!$C$21+F47*'Les meg'!$C$22+G47*'Les meg'!$C$23),1))</f>
        <v/>
      </c>
      <c r="I47" s="21" t="n">
        <v>30.4</v>
      </c>
      <c r="J47" s="21" t="n">
        <v>941</v>
      </c>
      <c r="K47" s="21" t="inlineStr">
        <is>
          <t>Monsun (Pokhara 941 mm).</t>
        </is>
      </c>
    </row>
    <row r="48">
      <c r="A48" s="21" t="inlineStr">
        <is>
          <t>NPL</t>
        </is>
      </c>
      <c r="B48" s="5">
        <f>IFERROR(INDEX(Destinasjoner!$E$5:$E$64,MATCH(A48,Destinasjoner!$A$5:$A$64,0)),"")</f>
        <v/>
      </c>
      <c r="C48" s="21" t="n">
        <v>8</v>
      </c>
      <c r="D48" s="5">
        <f>IF(C48="","",CHOOSE(C48,"jan","feb","mar","apr","mai","jun","jul","aug","sep","okt","nov","des"))</f>
        <v/>
      </c>
      <c r="E48" s="21" t="n">
        <v>1</v>
      </c>
      <c r="F48" s="21" t="n">
        <v>2</v>
      </c>
      <c r="G48" s="21" t="n">
        <v>5</v>
      </c>
      <c r="H48" s="18">
        <f>IF(COUNT(E48:G48)&lt;3,"",ROUND(IF(OR(E48=1,F48=1),MIN('Les meg'!$C$25,E48*'Les meg'!$C$21+F48*'Les meg'!$C$22+G48*'Les meg'!$C$23),E48*'Les meg'!$C$21+F48*'Les meg'!$C$22+G48*'Les meg'!$C$23),1))</f>
        <v/>
      </c>
      <c r="I48" s="21" t="n">
        <v>30.5</v>
      </c>
      <c r="J48" s="21" t="n">
        <v>839</v>
      </c>
      <c r="K48" s="21" t="inlineStr">
        <is>
          <t>Monsun.</t>
        </is>
      </c>
    </row>
    <row r="49">
      <c r="A49" s="21" t="inlineStr">
        <is>
          <t>NPL</t>
        </is>
      </c>
      <c r="B49" s="5">
        <f>IFERROR(INDEX(Destinasjoner!$E$5:$E$64,MATCH(A49,Destinasjoner!$A$5:$A$64,0)),"")</f>
        <v/>
      </c>
      <c r="C49" s="21" t="n">
        <v>9</v>
      </c>
      <c r="D49" s="5">
        <f>IF(C49="","",CHOOSE(C49,"jan","feb","mar","apr","mai","jun","jul","aug","sep","okt","nov","des"))</f>
        <v/>
      </c>
      <c r="E49" s="21" t="n">
        <v>2</v>
      </c>
      <c r="F49" s="21" t="n">
        <v>3</v>
      </c>
      <c r="G49" s="21" t="n">
        <v>4</v>
      </c>
      <c r="H49" s="18">
        <f>IF(COUNT(E49:G49)&lt;3,"",ROUND(IF(OR(E49=1,F49=1),MIN('Les meg'!$C$25,E49*'Les meg'!$C$21+F49*'Les meg'!$C$22+G49*'Les meg'!$C$23),E49*'Les meg'!$C$21+F49*'Les meg'!$C$22+G49*'Les meg'!$C$23),1))</f>
        <v/>
      </c>
      <c r="I49" s="21" t="n">
        <v>29.9</v>
      </c>
      <c r="J49" s="21" t="n">
        <v>635</v>
      </c>
      <c r="K49" s="21" t="inlineStr">
        <is>
          <t>Monsunen avtar mot slutten.</t>
        </is>
      </c>
    </row>
    <row r="50">
      <c r="A50" s="21" t="inlineStr">
        <is>
          <t>NPL</t>
        </is>
      </c>
      <c r="B50" s="5">
        <f>IFERROR(INDEX(Destinasjoner!$E$5:$E$64,MATCH(A50,Destinasjoner!$A$5:$A$64,0)),"")</f>
        <v/>
      </c>
      <c r="C50" s="21" t="n">
        <v>10</v>
      </c>
      <c r="D50" s="5">
        <f>IF(C50="","",CHOOSE(C50,"jan","feb","mar","apr","mai","jun","jul","aug","sep","okt","nov","des"))</f>
        <v/>
      </c>
      <c r="E50" s="21" t="n">
        <v>5</v>
      </c>
      <c r="F50" s="21" t="n">
        <v>5</v>
      </c>
      <c r="G50" s="21" t="n">
        <v>1</v>
      </c>
      <c r="H50" s="18">
        <f>IF(COUNT(E50:G50)&lt;3,"",ROUND(IF(OR(E50=1,F50=1),MIN('Les meg'!$C$25,E50*'Les meg'!$C$21+F50*'Les meg'!$C$22+G50*'Les meg'!$C$23),E50*'Les meg'!$C$21+F50*'Les meg'!$C$22+G50*'Les meg'!$C$23),1))</f>
        <v/>
      </c>
      <c r="I50" s="21" t="n">
        <v>27.9</v>
      </c>
      <c r="J50" s="21" t="n">
        <v>159</v>
      </c>
      <c r="K50" s="21" t="inlineStr">
        <is>
          <t>Beste sikt, tørt etter første uke. Toppsesong; Dashain/Tihar.</t>
        </is>
      </c>
    </row>
    <row r="51">
      <c r="A51" s="21" t="inlineStr">
        <is>
          <t>NPL</t>
        </is>
      </c>
      <c r="B51" s="5">
        <f>IFERROR(INDEX(Destinasjoner!$E$5:$E$64,MATCH(A51,Destinasjoner!$A$5:$A$64,0)),"")</f>
        <v/>
      </c>
      <c r="C51" s="21" t="n">
        <v>11</v>
      </c>
      <c r="D51" s="5">
        <f>IF(C51="","",CHOOSE(C51,"jan","feb","mar","apr","mai","jun","jul","aug","sep","okt","nov","des"))</f>
        <v/>
      </c>
      <c r="E51" s="21" t="n">
        <v>5</v>
      </c>
      <c r="F51" s="21" t="n">
        <v>5</v>
      </c>
      <c r="G51" s="21" t="n">
        <v>2</v>
      </c>
      <c r="H51" s="18">
        <f>IF(COUNT(E51:G51)&lt;3,"",ROUND(IF(OR(E51=1,F51=1),MIN('Les meg'!$C$25,E51*'Les meg'!$C$21+F51*'Les meg'!$C$22+G51*'Les meg'!$C$23),E51*'Les meg'!$C$21+F51*'Les meg'!$C$22+G51*'Les meg'!$C$23),1))</f>
        <v/>
      </c>
      <c r="I51" s="21" t="n">
        <v>24.4</v>
      </c>
      <c r="J51" s="21" t="n">
        <v>17</v>
      </c>
      <c r="K51" s="21" t="inlineStr">
        <is>
          <t>Krystallklart og tørt, kjøligere.</t>
        </is>
      </c>
    </row>
    <row r="52">
      <c r="A52" s="21" t="inlineStr">
        <is>
          <t>NPL</t>
        </is>
      </c>
      <c r="B52" s="5">
        <f>IFERROR(INDEX(Destinasjoner!$E$5:$E$64,MATCH(A52,Destinasjoner!$A$5:$A$64,0)),"")</f>
        <v/>
      </c>
      <c r="C52" s="21" t="n">
        <v>12</v>
      </c>
      <c r="D52" s="5">
        <f>IF(C52="","",CHOOSE(C52,"jan","feb","mar","apr","mai","jun","jul","aug","sep","okt","nov","des"))</f>
        <v/>
      </c>
      <c r="E52" s="21" t="n">
        <v>4</v>
      </c>
      <c r="F52" s="21" t="n">
        <v>4</v>
      </c>
      <c r="G52" s="21" t="n">
        <v>4</v>
      </c>
      <c r="H52" s="18">
        <f>IF(COUNT(E52:G52)&lt;3,"",ROUND(IF(OR(E52=1,F52=1),MIN('Les meg'!$C$25,E52*'Les meg'!$C$21+F52*'Les meg'!$C$22+G52*'Les meg'!$C$23),E52*'Les meg'!$C$21+F52*'Les meg'!$C$22+G52*'Les meg'!$C$23),1))</f>
        <v/>
      </c>
      <c r="I52" s="21" t="n">
        <v>21</v>
      </c>
      <c r="J52" s="21" t="n">
        <v>12</v>
      </c>
      <c r="K52" s="21" t="inlineStr">
        <is>
          <t>Klart og kaldt. Lav trengsel.</t>
        </is>
      </c>
    </row>
    <row r="53">
      <c r="A53" s="21" t="inlineStr">
        <is>
          <t>IND-GOA</t>
        </is>
      </c>
      <c r="B53" s="5">
        <f>IFERROR(INDEX(Destinasjoner!$E$5:$E$64,MATCH(A53,Destinasjoner!$A$5:$A$64,0)),"")</f>
        <v/>
      </c>
      <c r="C53" s="21" t="n">
        <v>1</v>
      </c>
      <c r="D53" s="5">
        <f>IF(C53="","",CHOOSE(C53,"jan","feb","mar","apr","mai","jun","jul","aug","sep","okt","nov","des"))</f>
        <v/>
      </c>
      <c r="E53" s="21" t="n">
        <v>5</v>
      </c>
      <c r="F53" s="21" t="n">
        <v>5</v>
      </c>
      <c r="G53" s="21" t="n">
        <v>2</v>
      </c>
      <c r="H53" s="18">
        <f>IF(COUNT(E53:G53)&lt;3,"",ROUND(IF(OR(E53=1,F53=1),MIN('Les meg'!$C$25,E53*'Les meg'!$C$21+F53*'Les meg'!$C$22+G53*'Les meg'!$C$23),E53*'Les meg'!$C$21+F53*'Les meg'!$C$22+G53*'Les meg'!$C$23),1))</f>
        <v/>
      </c>
      <c r="I53" s="21" t="n">
        <v>32.5</v>
      </c>
      <c r="J53" s="21" t="n">
        <v>1</v>
      </c>
      <c r="K53" s="21" t="inlineStr">
        <is>
          <t>Tørt, lav fuktighet. Høysesong.</t>
        </is>
      </c>
    </row>
    <row r="54">
      <c r="A54" s="21" t="inlineStr">
        <is>
          <t>IND-GOA</t>
        </is>
      </c>
      <c r="B54" s="5">
        <f>IFERROR(INDEX(Destinasjoner!$E$5:$E$64,MATCH(A54,Destinasjoner!$A$5:$A$64,0)),"")</f>
        <v/>
      </c>
      <c r="C54" s="21" t="n">
        <v>2</v>
      </c>
      <c r="D54" s="5">
        <f>IF(C54="","",CHOOSE(C54,"jan","feb","mar","apr","mai","jun","jul","aug","sep","okt","nov","des"))</f>
        <v/>
      </c>
      <c r="E54" s="21" t="n">
        <v>5</v>
      </c>
      <c r="F54" s="21" t="n">
        <v>5</v>
      </c>
      <c r="G54" s="21" t="n">
        <v>3</v>
      </c>
      <c r="H54" s="18">
        <f>IF(COUNT(E54:G54)&lt;3,"",ROUND(IF(OR(E54=1,F54=1),MIN('Les meg'!$C$25,E54*'Les meg'!$C$21+F54*'Les meg'!$C$22+G54*'Les meg'!$C$23),E54*'Les meg'!$C$21+F54*'Les meg'!$C$22+G54*'Les meg'!$C$23),1))</f>
        <v/>
      </c>
      <c r="I54" s="21" t="n">
        <v>32.4</v>
      </c>
      <c r="J54" s="21" t="n">
        <v>0</v>
      </c>
      <c r="K54" s="21" t="inlineStr">
        <is>
          <t>Tørt, ideelt. Karneval (se Vinduer).</t>
        </is>
      </c>
    </row>
    <row r="55">
      <c r="A55" s="21" t="inlineStr">
        <is>
          <t>IND-GOA</t>
        </is>
      </c>
      <c r="B55" s="5">
        <f>IFERROR(INDEX(Destinasjoner!$E$5:$E$64,MATCH(A55,Destinasjoner!$A$5:$A$64,0)),"")</f>
        <v/>
      </c>
      <c r="C55" s="21" t="n">
        <v>3</v>
      </c>
      <c r="D55" s="5">
        <f>IF(C55="","",CHOOSE(C55,"jan","feb","mar","apr","mai","jun","jul","aug","sep","okt","nov","des"))</f>
        <v/>
      </c>
      <c r="E55" s="21" t="n">
        <v>4</v>
      </c>
      <c r="F55" s="21" t="n">
        <v>4</v>
      </c>
      <c r="G55" s="21" t="n">
        <v>4</v>
      </c>
      <c r="H55" s="18">
        <f>IF(COUNT(E55:G55)&lt;3,"",ROUND(IF(OR(E55=1,F55=1),MIN('Les meg'!$C$25,E55*'Les meg'!$C$21+F55*'Les meg'!$C$22+G55*'Les meg'!$C$23),E55*'Les meg'!$C$21+F55*'Les meg'!$C$22+G55*'Les meg'!$C$23),1))</f>
        <v/>
      </c>
      <c r="I55" s="21" t="n">
        <v>32.6</v>
      </c>
      <c r="J55" s="21" t="n">
        <v>0</v>
      </c>
      <c r="K55" s="21" t="inlineStr">
        <is>
          <t>Varmere og fuktigere, fortsatt tørt.</t>
        </is>
      </c>
    </row>
    <row r="56">
      <c r="A56" s="21" t="inlineStr">
        <is>
          <t>IND-GOA</t>
        </is>
      </c>
      <c r="B56" s="5">
        <f>IFERROR(INDEX(Destinasjoner!$E$5:$E$64,MATCH(A56,Destinasjoner!$A$5:$A$64,0)),"")</f>
        <v/>
      </c>
      <c r="C56" s="21" t="n">
        <v>4</v>
      </c>
      <c r="D56" s="5">
        <f>IF(C56="","",CHOOSE(C56,"jan","feb","mar","apr","mai","jun","jul","aug","sep","okt","nov","des"))</f>
        <v/>
      </c>
      <c r="E56" s="21" t="n">
        <v>3</v>
      </c>
      <c r="F56" s="21" t="n">
        <v>3</v>
      </c>
      <c r="G56" s="21" t="n">
        <v>5</v>
      </c>
      <c r="H56" s="18">
        <f>IF(COUNT(E56:G56)&lt;3,"",ROUND(IF(OR(E56=1,F56=1),MIN('Les meg'!$C$25,E56*'Les meg'!$C$21+F56*'Les meg'!$C$22+G56*'Les meg'!$C$23),E56*'Les meg'!$C$21+F56*'Les meg'!$C$22+G56*'Les meg'!$C$23),1))</f>
        <v/>
      </c>
      <c r="I56" s="21" t="n">
        <v>33.4</v>
      </c>
      <c r="J56" s="21" t="n">
        <v>5</v>
      </c>
      <c r="K56" s="21" t="inlineStr">
        <is>
          <t>Varmt og fuktig.</t>
        </is>
      </c>
    </row>
    <row r="57">
      <c r="A57" s="21" t="inlineStr">
        <is>
          <t>IND-GOA</t>
        </is>
      </c>
      <c r="B57" s="5">
        <f>IFERROR(INDEX(Destinasjoner!$E$5:$E$64,MATCH(A57,Destinasjoner!$A$5:$A$64,0)),"")</f>
        <v/>
      </c>
      <c r="C57" s="21" t="n">
        <v>5</v>
      </c>
      <c r="D57" s="5">
        <f>IF(C57="","",CHOOSE(C57,"jan","feb","mar","apr","mai","jun","jul","aug","sep","okt","nov","des"))</f>
        <v/>
      </c>
      <c r="E57" s="21" t="n">
        <v>2</v>
      </c>
      <c r="F57" s="21" t="n">
        <v>2</v>
      </c>
      <c r="G57" s="21" t="n">
        <v>5</v>
      </c>
      <c r="H57" s="18">
        <f>IF(COUNT(E57:G57)&lt;3,"",ROUND(IF(OR(E57=1,F57=1),MIN('Les meg'!$C$25,E57*'Les meg'!$C$21+F57*'Les meg'!$C$22+G57*'Les meg'!$C$23),E57*'Les meg'!$C$21+F57*'Les meg'!$C$22+G57*'Les meg'!$C$23),1))</f>
        <v/>
      </c>
      <c r="I57" s="21" t="n">
        <v>33.8</v>
      </c>
      <c r="J57" s="21" t="n">
        <v>77</v>
      </c>
      <c r="K57" s="21" t="inlineStr">
        <is>
          <t>Svært fuktig før monsunen. Mange strandbarer stenger.</t>
        </is>
      </c>
    </row>
    <row r="58">
      <c r="A58" s="21" t="inlineStr">
        <is>
          <t>IND-GOA</t>
        </is>
      </c>
      <c r="B58" s="5">
        <f>IFERROR(INDEX(Destinasjoner!$E$5:$E$64,MATCH(A58,Destinasjoner!$A$5:$A$64,0)),"")</f>
        <v/>
      </c>
      <c r="C58" s="21" t="n">
        <v>6</v>
      </c>
      <c r="D58" s="5">
        <f>IF(C58="","",CHOOSE(C58,"jan","feb","mar","apr","mai","jun","jul","aug","sep","okt","nov","des"))</f>
        <v/>
      </c>
      <c r="E58" s="21" t="n">
        <v>1</v>
      </c>
      <c r="F58" s="21" t="n">
        <v>1</v>
      </c>
      <c r="G58" s="21" t="n">
        <v>5</v>
      </c>
      <c r="H58" s="18">
        <f>IF(COUNT(E58:G58)&lt;3,"",ROUND(IF(OR(E58=1,F58=1),MIN('Les meg'!$C$25,E58*'Les meg'!$C$21+F58*'Les meg'!$C$22+G58*'Les meg'!$C$23),E58*'Les meg'!$C$21+F58*'Les meg'!$C$22+G58*'Les meg'!$C$23),1))</f>
        <v/>
      </c>
      <c r="I58" s="21" t="n">
        <v>30.9</v>
      </c>
      <c r="J58" s="21" t="n">
        <v>890</v>
      </c>
      <c r="K58" s="21" t="inlineStr">
        <is>
          <t>Monsun (890 mm): badeforbud, strandbarer stengt.</t>
        </is>
      </c>
    </row>
    <row r="59">
      <c r="A59" s="21" t="inlineStr">
        <is>
          <t>IND-GOA</t>
        </is>
      </c>
      <c r="B59" s="5">
        <f>IFERROR(INDEX(Destinasjoner!$E$5:$E$64,MATCH(A59,Destinasjoner!$A$5:$A$64,0)),"")</f>
        <v/>
      </c>
      <c r="C59" s="21" t="n">
        <v>7</v>
      </c>
      <c r="D59" s="5">
        <f>IF(C59="","",CHOOSE(C59,"jan","feb","mar","apr","mai","jun","jul","aug","sep","okt","nov","des"))</f>
        <v/>
      </c>
      <c r="E59" s="21" t="n">
        <v>1</v>
      </c>
      <c r="F59" s="21" t="n">
        <v>1</v>
      </c>
      <c r="G59" s="21" t="n">
        <v>5</v>
      </c>
      <c r="H59" s="18">
        <f>IF(COUNT(E59:G59)&lt;3,"",ROUND(IF(OR(E59=1,F59=1),MIN('Les meg'!$C$25,E59*'Les meg'!$C$21+F59*'Les meg'!$C$22+G59*'Les meg'!$C$23),E59*'Les meg'!$C$21+F59*'Les meg'!$C$22+G59*'Les meg'!$C$23),1))</f>
        <v/>
      </c>
      <c r="I59" s="21" t="n">
        <v>29.3</v>
      </c>
      <c r="J59" s="21" t="n">
        <v>955</v>
      </c>
      <c r="K59" s="21" t="inlineStr">
        <is>
          <t>Monsun.</t>
        </is>
      </c>
    </row>
    <row r="60">
      <c r="A60" s="21" t="inlineStr">
        <is>
          <t>IND-GOA</t>
        </is>
      </c>
      <c r="B60" s="5">
        <f>IFERROR(INDEX(Destinasjoner!$E$5:$E$64,MATCH(A60,Destinasjoner!$A$5:$A$64,0)),"")</f>
        <v/>
      </c>
      <c r="C60" s="21" t="n">
        <v>8</v>
      </c>
      <c r="D60" s="5">
        <f>IF(C60="","",CHOOSE(C60,"jan","feb","mar","apr","mai","jun","jul","aug","sep","okt","nov","des"))</f>
        <v/>
      </c>
      <c r="E60" s="21" t="n">
        <v>1</v>
      </c>
      <c r="F60" s="21" t="n">
        <v>2</v>
      </c>
      <c r="G60" s="21" t="n">
        <v>5</v>
      </c>
      <c r="H60" s="18">
        <f>IF(COUNT(E60:G60)&lt;3,"",ROUND(IF(OR(E60=1,F60=1),MIN('Les meg'!$C$25,E60*'Les meg'!$C$21+F60*'Les meg'!$C$22+G60*'Les meg'!$C$23),E60*'Les meg'!$C$21+F60*'Les meg'!$C$22+G60*'Les meg'!$C$23),1))</f>
        <v/>
      </c>
      <c r="I60" s="21" t="n">
        <v>29.5</v>
      </c>
      <c r="J60" s="21" t="n">
        <v>572</v>
      </c>
      <c r="K60" s="21" t="inlineStr">
        <is>
          <t>Monsun, grønt innland.</t>
        </is>
      </c>
    </row>
    <row r="61">
      <c r="A61" s="21" t="inlineStr">
        <is>
          <t>IND-GOA</t>
        </is>
      </c>
      <c r="B61" s="5">
        <f>IFERROR(INDEX(Destinasjoner!$E$5:$E$64,MATCH(A61,Destinasjoner!$A$5:$A$64,0)),"")</f>
        <v/>
      </c>
      <c r="C61" s="21" t="n">
        <v>9</v>
      </c>
      <c r="D61" s="5">
        <f>IF(C61="","",CHOOSE(C61,"jan","feb","mar","apr","mai","jun","jul","aug","sep","okt","nov","des"))</f>
        <v/>
      </c>
      <c r="E61" s="21" t="n">
        <v>2</v>
      </c>
      <c r="F61" s="21" t="n">
        <v>2</v>
      </c>
      <c r="G61" s="21" t="n">
        <v>5</v>
      </c>
      <c r="H61" s="18">
        <f>IF(COUNT(E61:G61)&lt;3,"",ROUND(IF(OR(E61=1,F61=1),MIN('Les meg'!$C$25,E61*'Les meg'!$C$21+F61*'Les meg'!$C$22+G61*'Les meg'!$C$23),E61*'Les meg'!$C$21+F61*'Les meg'!$C$22+G61*'Les meg'!$C$23),1))</f>
        <v/>
      </c>
      <c r="I61" s="21" t="n">
        <v>30.2</v>
      </c>
      <c r="J61" s="21" t="n">
        <v>304</v>
      </c>
      <c r="K61" s="21" t="inlineStr">
        <is>
          <t>Monsunen avtar.</t>
        </is>
      </c>
    </row>
    <row r="62">
      <c r="A62" s="21" t="inlineStr">
        <is>
          <t>IND-GOA</t>
        </is>
      </c>
      <c r="B62" s="5">
        <f>IFERROR(INDEX(Destinasjoner!$E$5:$E$64,MATCH(A62,Destinasjoner!$A$5:$A$64,0)),"")</f>
        <v/>
      </c>
      <c r="C62" s="21" t="n">
        <v>10</v>
      </c>
      <c r="D62" s="5">
        <f>IF(C62="","",CHOOSE(C62,"jan","feb","mar","apr","mai","jun","jul","aug","sep","okt","nov","des"))</f>
        <v/>
      </c>
      <c r="E62" s="21" t="n">
        <v>3</v>
      </c>
      <c r="F62" s="21" t="n">
        <v>3</v>
      </c>
      <c r="G62" s="21" t="n">
        <v>4</v>
      </c>
      <c r="H62" s="18">
        <f>IF(COUNT(E62:G62)&lt;3,"",ROUND(IF(OR(E62=1,F62=1),MIN('Les meg'!$C$25,E62*'Les meg'!$C$21+F62*'Les meg'!$C$22+G62*'Les meg'!$C$23),E62*'Les meg'!$C$21+F62*'Les meg'!$C$22+G62*'Les meg'!$C$23),1))</f>
        <v/>
      </c>
      <c r="I62" s="21" t="n">
        <v>32</v>
      </c>
      <c r="J62" s="21" t="n">
        <v>156</v>
      </c>
      <c r="K62" s="21" t="inlineStr">
        <is>
          <t>Overgang; sesongen åpner mot slutten.</t>
        </is>
      </c>
    </row>
    <row r="63">
      <c r="A63" s="21" t="inlineStr">
        <is>
          <t>IND-GOA</t>
        </is>
      </c>
      <c r="B63" s="5">
        <f>IFERROR(INDEX(Destinasjoner!$E$5:$E$64,MATCH(A63,Destinasjoner!$A$5:$A$64,0)),"")</f>
        <v/>
      </c>
      <c r="C63" s="21" t="n">
        <v>11</v>
      </c>
      <c r="D63" s="5">
        <f>IF(C63="","",CHOOSE(C63,"jan","feb","mar","apr","mai","jun","jul","aug","sep","okt","nov","des"))</f>
        <v/>
      </c>
      <c r="E63" s="21" t="n">
        <v>5</v>
      </c>
      <c r="F63" s="21" t="n">
        <v>4</v>
      </c>
      <c r="G63" s="21" t="n">
        <v>3</v>
      </c>
      <c r="H63" s="18">
        <f>IF(COUNT(E63:G63)&lt;3,"",ROUND(IF(OR(E63=1,F63=1),MIN('Les meg'!$C$25,E63*'Les meg'!$C$21+F63*'Les meg'!$C$22+G63*'Les meg'!$C$23),E63*'Les meg'!$C$21+F63*'Les meg'!$C$22+G63*'Les meg'!$C$23),1))</f>
        <v/>
      </c>
      <c r="I63" s="21" t="n">
        <v>33.5</v>
      </c>
      <c r="J63" s="21" t="n">
        <v>21</v>
      </c>
      <c r="K63" s="21" t="inlineStr">
        <is>
          <t>Tørt, sesongen i gang.</t>
        </is>
      </c>
    </row>
    <row r="64">
      <c r="A64" s="21" t="inlineStr">
        <is>
          <t>IND-GOA</t>
        </is>
      </c>
      <c r="B64" s="5">
        <f>IFERROR(INDEX(Destinasjoner!$E$5:$E$64,MATCH(A64,Destinasjoner!$A$5:$A$64,0)),"")</f>
        <v/>
      </c>
      <c r="C64" s="21" t="n">
        <v>12</v>
      </c>
      <c r="D64" s="5">
        <f>IF(C64="","",CHOOSE(C64,"jan","feb","mar","apr","mai","jun","jul","aug","sep","okt","nov","des"))</f>
        <v/>
      </c>
      <c r="E64" s="21" t="n">
        <v>5</v>
      </c>
      <c r="F64" s="21" t="n">
        <v>5</v>
      </c>
      <c r="G64" s="21" t="n">
        <v>1</v>
      </c>
      <c r="H64" s="18">
        <f>IF(COUNT(E64:G64)&lt;3,"",ROUND(IF(OR(E64=1,F64=1),MIN('Les meg'!$C$25,E64*'Les meg'!$C$21+F64*'Les meg'!$C$22+G64*'Les meg'!$C$23),E64*'Les meg'!$C$21+F64*'Les meg'!$C$22+G64*'Les meg'!$C$23),1))</f>
        <v/>
      </c>
      <c r="I64" s="21" t="n">
        <v>33.1</v>
      </c>
      <c r="J64" s="21" t="n">
        <v>3</v>
      </c>
      <c r="K64" s="21" t="inlineStr">
        <is>
          <t>Topp: jul/nyttår og festivaler. Dyrest og fullt (se Vinduer).</t>
        </is>
      </c>
    </row>
    <row r="65">
      <c r="A65" s="21" t="inlineStr">
        <is>
          <t>LKA-SV</t>
        </is>
      </c>
      <c r="B65" s="5">
        <f>IFERROR(INDEX(Destinasjoner!$E$5:$E$64,MATCH(A65,Destinasjoner!$A$5:$A$64,0)),"")</f>
        <v/>
      </c>
      <c r="C65" s="21" t="n">
        <v>1</v>
      </c>
      <c r="D65" s="5">
        <f>IF(C65="","",CHOOSE(C65,"jan","feb","mar","apr","mai","jun","jul","aug","sep","okt","nov","des"))</f>
        <v/>
      </c>
      <c r="E65" s="21" t="n">
        <v>5</v>
      </c>
      <c r="F65" s="21" t="n">
        <v>5</v>
      </c>
      <c r="G65" s="21" t="n">
        <v>2</v>
      </c>
      <c r="H65" s="18">
        <f>IF(COUNT(E65:G65)&lt;3,"",ROUND(IF(OR(E65=1,F65=1),MIN('Les meg'!$C$25,E65*'Les meg'!$C$21+F65*'Les meg'!$C$22+G65*'Les meg'!$C$23),E65*'Les meg'!$C$21+F65*'Les meg'!$C$22+G65*'Les meg'!$C$23),1))</f>
        <v/>
      </c>
      <c r="I65" s="21" t="n">
        <v>31.4</v>
      </c>
      <c r="J65" s="21" t="n">
        <v>80</v>
      </c>
      <c r="K65" s="21" t="inlineStr">
        <is>
          <t>Tørt og solrikt på vest-/sørkysten. Hval ved Mirissa.</t>
        </is>
      </c>
    </row>
    <row r="66">
      <c r="A66" s="21" t="inlineStr">
        <is>
          <t>LKA-SV</t>
        </is>
      </c>
      <c r="B66" s="5">
        <f>IFERROR(INDEX(Destinasjoner!$E$5:$E$64,MATCH(A66,Destinasjoner!$A$5:$A$64,0)),"")</f>
        <v/>
      </c>
      <c r="C66" s="21" t="n">
        <v>2</v>
      </c>
      <c r="D66" s="5">
        <f>IF(C66="","",CHOOSE(C66,"jan","feb","mar","apr","mai","jun","jul","aug","sep","okt","nov","des"))</f>
        <v/>
      </c>
      <c r="E66" s="21" t="n">
        <v>5</v>
      </c>
      <c r="F66" s="21" t="n">
        <v>5</v>
      </c>
      <c r="G66" s="21" t="n">
        <v>2</v>
      </c>
      <c r="H66" s="18">
        <f>IF(COUNT(E66:G66)&lt;3,"",ROUND(IF(OR(E66=1,F66=1),MIN('Les meg'!$C$25,E66*'Les meg'!$C$21+F66*'Les meg'!$C$22+G66*'Les meg'!$C$23),E66*'Les meg'!$C$21+F66*'Les meg'!$C$22+G66*'Les meg'!$C$23),1))</f>
        <v/>
      </c>
      <c r="I66" s="21" t="n">
        <v>31.6</v>
      </c>
      <c r="J66" s="21" t="n">
        <v>77</v>
      </c>
      <c r="K66" s="21" t="inlineStr">
        <is>
          <t>Tørt. Hval, gode forhold i høylandet.</t>
        </is>
      </c>
    </row>
    <row r="67">
      <c r="A67" s="21" t="inlineStr">
        <is>
          <t>LKA-SV</t>
        </is>
      </c>
      <c r="B67" s="5">
        <f>IFERROR(INDEX(Destinasjoner!$E$5:$E$64,MATCH(A67,Destinasjoner!$A$5:$A$64,0)),"")</f>
        <v/>
      </c>
      <c r="C67" s="21" t="n">
        <v>3</v>
      </c>
      <c r="D67" s="5">
        <f>IF(C67="","",CHOOSE(C67,"jan","feb","mar","apr","mai","jun","jul","aug","sep","okt","nov","des"))</f>
        <v/>
      </c>
      <c r="E67" s="21" t="n">
        <v>5</v>
      </c>
      <c r="F67" s="21" t="n">
        <v>5</v>
      </c>
      <c r="G67" s="21" t="n">
        <v>3</v>
      </c>
      <c r="H67" s="18">
        <f>IF(COUNT(E67:G67)&lt;3,"",ROUND(IF(OR(E67=1,F67=1),MIN('Les meg'!$C$25,E67*'Les meg'!$C$21+F67*'Les meg'!$C$22+G67*'Les meg'!$C$23),E67*'Les meg'!$C$21+F67*'Les meg'!$C$22+G67*'Les meg'!$C$23),1))</f>
        <v/>
      </c>
      <c r="I67" s="21" t="n">
        <v>32</v>
      </c>
      <c r="J67" s="21" t="n">
        <v>103</v>
      </c>
      <c r="K67" s="21" t="inlineStr">
        <is>
          <t>Tørt og varmt. Siste gode hvalmåned.</t>
        </is>
      </c>
    </row>
    <row r="68">
      <c r="A68" s="21" t="inlineStr">
        <is>
          <t>LKA-SV</t>
        </is>
      </c>
      <c r="B68" s="5">
        <f>IFERROR(INDEX(Destinasjoner!$E$5:$E$64,MATCH(A68,Destinasjoner!$A$5:$A$64,0)),"")</f>
        <v/>
      </c>
      <c r="C68" s="21" t="n">
        <v>4</v>
      </c>
      <c r="D68" s="5">
        <f>IF(C68="","",CHOOSE(C68,"jan","feb","mar","apr","mai","jun","jul","aug","sep","okt","nov","des"))</f>
        <v/>
      </c>
      <c r="E68" s="21" t="n">
        <v>3</v>
      </c>
      <c r="F68" s="21" t="n">
        <v>4</v>
      </c>
      <c r="G68" s="21" t="n">
        <v>4</v>
      </c>
      <c r="H68" s="18">
        <f>IF(COUNT(E68:G68)&lt;3,"",ROUND(IF(OR(E68=1,F68=1),MIN('Les meg'!$C$25,E68*'Les meg'!$C$21+F68*'Les meg'!$C$22+G68*'Les meg'!$C$23),E68*'Les meg'!$C$21+F68*'Les meg'!$C$22+G68*'Les meg'!$C$23),1))</f>
        <v/>
      </c>
      <c r="I68" s="21" t="n">
        <v>32</v>
      </c>
      <c r="J68" s="21" t="n">
        <v>249</v>
      </c>
      <c r="K68" s="21" t="inlineStr">
        <is>
          <t>Byger øker. Singalesisk/tamilsk nyttår 13.–14.4.</t>
        </is>
      </c>
    </row>
    <row r="69">
      <c r="A69" s="21" t="inlineStr">
        <is>
          <t>LKA-SV</t>
        </is>
      </c>
      <c r="B69" s="5">
        <f>IFERROR(INDEX(Destinasjoner!$E$5:$E$64,MATCH(A69,Destinasjoner!$A$5:$A$64,0)),"")</f>
        <v/>
      </c>
      <c r="C69" s="21" t="n">
        <v>5</v>
      </c>
      <c r="D69" s="5">
        <f>IF(C69="","",CHOOSE(C69,"jan","feb","mar","apr","mai","jun","jul","aug","sep","okt","nov","des"))</f>
        <v/>
      </c>
      <c r="E69" s="21" t="n">
        <v>2</v>
      </c>
      <c r="F69" s="21" t="n">
        <v>2</v>
      </c>
      <c r="G69" s="21" t="n">
        <v>5</v>
      </c>
      <c r="H69" s="18">
        <f>IF(COUNT(E69:G69)&lt;3,"",ROUND(IF(OR(E69=1,F69=1),MIN('Les meg'!$C$25,E69*'Les meg'!$C$21+F69*'Les meg'!$C$22+G69*'Les meg'!$C$23),E69*'Les meg'!$C$21+F69*'Les meg'!$C$22+G69*'Les meg'!$C$23),1))</f>
        <v/>
      </c>
      <c r="I69" s="21" t="n">
        <v>31.5</v>
      </c>
      <c r="J69" s="21" t="n">
        <v>314</v>
      </c>
      <c r="K69" s="21" t="inlineStr">
        <is>
          <t>Sørvestmonsun, grov sjø.</t>
        </is>
      </c>
    </row>
    <row r="70">
      <c r="A70" s="21" t="inlineStr">
        <is>
          <t>LKA-SV</t>
        </is>
      </c>
      <c r="B70" s="5">
        <f>IFERROR(INDEX(Destinasjoner!$E$5:$E$64,MATCH(A70,Destinasjoner!$A$5:$A$64,0)),"")</f>
        <v/>
      </c>
      <c r="C70" s="21" t="n">
        <v>6</v>
      </c>
      <c r="D70" s="5">
        <f>IF(C70="","",CHOOSE(C70,"jan","feb","mar","apr","mai","jun","jul","aug","sep","okt","nov","des"))</f>
        <v/>
      </c>
      <c r="E70" s="21" t="n">
        <v>2</v>
      </c>
      <c r="F70" s="21" t="n">
        <v>3</v>
      </c>
      <c r="G70" s="21" t="n">
        <v>5</v>
      </c>
      <c r="H70" s="18">
        <f>IF(COUNT(E70:G70)&lt;3,"",ROUND(IF(OR(E70=1,F70=1),MIN('Les meg'!$C$25,E70*'Les meg'!$C$21+F70*'Les meg'!$C$22+G70*'Les meg'!$C$23),E70*'Les meg'!$C$21+F70*'Les meg'!$C$22+G70*'Les meg'!$C$23),1))</f>
        <v/>
      </c>
      <c r="I70" s="21" t="n">
        <v>30.7</v>
      </c>
      <c r="J70" s="21" t="n">
        <v>197</v>
      </c>
      <c r="K70" s="21" t="inlineStr">
        <is>
          <t>Monsun; høylandet vått.</t>
        </is>
      </c>
    </row>
    <row r="71">
      <c r="A71" s="21" t="inlineStr">
        <is>
          <t>LKA-SV</t>
        </is>
      </c>
      <c r="B71" s="5">
        <f>IFERROR(INDEX(Destinasjoner!$E$5:$E$64,MATCH(A71,Destinasjoner!$A$5:$A$64,0)),"")</f>
        <v/>
      </c>
      <c r="C71" s="21" t="n">
        <v>7</v>
      </c>
      <c r="D71" s="5">
        <f>IF(C71="","",CHOOSE(C71,"jan","feb","mar","apr","mai","jun","jul","aug","sep","okt","nov","des"))</f>
        <v/>
      </c>
      <c r="E71" s="21" t="n">
        <v>3</v>
      </c>
      <c r="F71" s="21" t="n">
        <v>3</v>
      </c>
      <c r="G71" s="21" t="n">
        <v>4</v>
      </c>
      <c r="H71" s="18">
        <f>IF(COUNT(E71:G71)&lt;3,"",ROUND(IF(OR(E71=1,F71=1),MIN('Les meg'!$C$25,E71*'Les meg'!$C$21+F71*'Les meg'!$C$22+G71*'Les meg'!$C$23),E71*'Les meg'!$C$21+F71*'Les meg'!$C$22+G71*'Les meg'!$C$23),1))</f>
        <v/>
      </c>
      <c r="I71" s="21" t="n">
        <v>30.3</v>
      </c>
      <c r="J71" s="21" t="n">
        <v>123</v>
      </c>
      <c r="K71" s="21" t="inlineStr">
        <is>
          <t>Moderat regn.</t>
        </is>
      </c>
    </row>
    <row r="72">
      <c r="A72" s="21" t="inlineStr">
        <is>
          <t>LKA-SV</t>
        </is>
      </c>
      <c r="B72" s="5">
        <f>IFERROR(INDEX(Destinasjoner!$E$5:$E$64,MATCH(A72,Destinasjoner!$A$5:$A$64,0)),"")</f>
        <v/>
      </c>
      <c r="C72" s="21" t="n">
        <v>8</v>
      </c>
      <c r="D72" s="5">
        <f>IF(C72="","",CHOOSE(C72,"jan","feb","mar","apr","mai","jun","jul","aug","sep","okt","nov","des"))</f>
        <v/>
      </c>
      <c r="E72" s="21" t="n">
        <v>3</v>
      </c>
      <c r="F72" s="21" t="n">
        <v>4</v>
      </c>
      <c r="G72" s="21" t="n">
        <v>3</v>
      </c>
      <c r="H72" s="18">
        <f>IF(COUNT(E72:G72)&lt;3,"",ROUND(IF(OR(E72=1,F72=1),MIN('Les meg'!$C$25,E72*'Les meg'!$C$21+F72*'Les meg'!$C$22+G72*'Les meg'!$C$23),E72*'Les meg'!$C$21+F72*'Les meg'!$C$22+G72*'Les meg'!$C$23),1))</f>
        <v/>
      </c>
      <c r="I72" s="21" t="n">
        <v>30.3</v>
      </c>
      <c r="J72" s="21" t="n">
        <v>116</v>
      </c>
      <c r="K72" s="21" t="inlineStr">
        <is>
          <t>Moderat regn. Esala Perahera i Kandy (se Vinduer).</t>
        </is>
      </c>
    </row>
    <row r="73">
      <c r="A73" s="21" t="inlineStr">
        <is>
          <t>LKA-SV</t>
        </is>
      </c>
      <c r="B73" s="5">
        <f>IFERROR(INDEX(Destinasjoner!$E$5:$E$64,MATCH(A73,Destinasjoner!$A$5:$A$64,0)),"")</f>
        <v/>
      </c>
      <c r="C73" s="21" t="n">
        <v>9</v>
      </c>
      <c r="D73" s="5">
        <f>IF(C73="","",CHOOSE(C73,"jan","feb","mar","apr","mai","jun","jul","aug","sep","okt","nov","des"))</f>
        <v/>
      </c>
      <c r="E73" s="21" t="n">
        <v>2</v>
      </c>
      <c r="F73" s="21" t="n">
        <v>3</v>
      </c>
      <c r="G73" s="21" t="n">
        <v>5</v>
      </c>
      <c r="H73" s="18">
        <f>IF(COUNT(E73:G73)&lt;3,"",ROUND(IF(OR(E73=1,F73=1),MIN('Les meg'!$C$25,E73*'Les meg'!$C$21+F73*'Les meg'!$C$22+G73*'Les meg'!$C$23),E73*'Les meg'!$C$21+F73*'Les meg'!$C$22+G73*'Les meg'!$C$23),1))</f>
        <v/>
      </c>
      <c r="I73" s="21" t="n">
        <v>30.4</v>
      </c>
      <c r="J73" s="21" t="n">
        <v>264</v>
      </c>
      <c r="K73" s="21" t="inlineStr">
        <is>
          <t>Mellommonsun, økende regn.</t>
        </is>
      </c>
    </row>
    <row r="74">
      <c r="A74" s="21" t="inlineStr">
        <is>
          <t>LKA-SV</t>
        </is>
      </c>
      <c r="B74" s="5">
        <f>IFERROR(INDEX(Destinasjoner!$E$5:$E$64,MATCH(A74,Destinasjoner!$A$5:$A$64,0)),"")</f>
        <v/>
      </c>
      <c r="C74" s="21" t="n">
        <v>10</v>
      </c>
      <c r="D74" s="5">
        <f>IF(C74="","",CHOOSE(C74,"jan","feb","mar","apr","mai","jun","jul","aug","sep","okt","nov","des"))</f>
        <v/>
      </c>
      <c r="E74" s="21" t="n">
        <v>2</v>
      </c>
      <c r="F74" s="21" t="n">
        <v>2</v>
      </c>
      <c r="G74" s="21" t="n">
        <v>5</v>
      </c>
      <c r="H74" s="18">
        <f>IF(COUNT(E74:G74)&lt;3,"",ROUND(IF(OR(E74=1,F74=1),MIN('Les meg'!$C$25,E74*'Les meg'!$C$21+F74*'Les meg'!$C$22+G74*'Les meg'!$C$23),E74*'Les meg'!$C$21+F74*'Les meg'!$C$22+G74*'Les meg'!$C$23),1))</f>
        <v/>
      </c>
      <c r="I74" s="21" t="n">
        <v>30.4</v>
      </c>
      <c r="J74" s="21" t="n">
        <v>359</v>
      </c>
      <c r="K74" s="21" t="inlineStr">
        <is>
          <t>Mest regn i Colombo (359 mm).</t>
        </is>
      </c>
    </row>
    <row r="75">
      <c r="A75" s="21" t="inlineStr">
        <is>
          <t>LKA-SV</t>
        </is>
      </c>
      <c r="B75" s="5">
        <f>IFERROR(INDEX(Destinasjoner!$E$5:$E$64,MATCH(A75,Destinasjoner!$A$5:$A$64,0)),"")</f>
        <v/>
      </c>
      <c r="C75" s="21" t="n">
        <v>11</v>
      </c>
      <c r="D75" s="5">
        <f>IF(C75="","",CHOOSE(C75,"jan","feb","mar","apr","mai","jun","jul","aug","sep","okt","nov","des"))</f>
        <v/>
      </c>
      <c r="E75" s="21" t="n">
        <v>2</v>
      </c>
      <c r="F75" s="21" t="n">
        <v>3</v>
      </c>
      <c r="G75" s="21" t="n">
        <v>4</v>
      </c>
      <c r="H75" s="18">
        <f>IF(COUNT(E75:G75)&lt;3,"",ROUND(IF(OR(E75=1,F75=1),MIN('Les meg'!$C$25,E75*'Les meg'!$C$21+F75*'Les meg'!$C$22+G75*'Les meg'!$C$23),E75*'Les meg'!$C$21+F75*'Les meg'!$C$22+G75*'Les meg'!$C$23),1))</f>
        <v/>
      </c>
      <c r="I75" s="21" t="n">
        <v>30.6</v>
      </c>
      <c r="J75" s="21" t="n">
        <v>346</v>
      </c>
      <c r="K75" s="21" t="inlineStr">
        <is>
          <t>Vått; bedring mot slutten.</t>
        </is>
      </c>
    </row>
    <row r="76">
      <c r="A76" s="21" t="inlineStr">
        <is>
          <t>LKA-SV</t>
        </is>
      </c>
      <c r="B76" s="5">
        <f>IFERROR(INDEX(Destinasjoner!$E$5:$E$64,MATCH(A76,Destinasjoner!$A$5:$A$64,0)),"")</f>
        <v/>
      </c>
      <c r="C76" s="21" t="n">
        <v>12</v>
      </c>
      <c r="D76" s="5">
        <f>IF(C76="","",CHOOSE(C76,"jan","feb","mar","apr","mai","jun","jul","aug","sep","okt","nov","des"))</f>
        <v/>
      </c>
      <c r="E76" s="21" t="n">
        <v>4</v>
      </c>
      <c r="F76" s="21" t="n">
        <v>5</v>
      </c>
      <c r="G76" s="21" t="n">
        <v>2</v>
      </c>
      <c r="H76" s="18">
        <f>IF(COUNT(E76:G76)&lt;3,"",ROUND(IF(OR(E76=1,F76=1),MIN('Les meg'!$C$25,E76*'Les meg'!$C$21+F76*'Les meg'!$C$22+G76*'Les meg'!$C$23),E76*'Les meg'!$C$21+F76*'Les meg'!$C$22+G76*'Les meg'!$C$23),1))</f>
        <v/>
      </c>
      <c r="I76" s="21" t="n">
        <v>30.9</v>
      </c>
      <c r="J76" s="21" t="n">
        <v>171</v>
      </c>
      <c r="K76" s="21" t="inlineStr">
        <is>
          <t>Sesongen starter, noe regn. Jul/nyttår gir trengsel.</t>
        </is>
      </c>
    </row>
    <row r="77">
      <c r="A77" s="21" t="inlineStr">
        <is>
          <t>LKA-O</t>
        </is>
      </c>
      <c r="B77" s="5">
        <f>IFERROR(INDEX(Destinasjoner!$E$5:$E$64,MATCH(A77,Destinasjoner!$A$5:$A$64,0)),"")</f>
        <v/>
      </c>
      <c r="C77" s="21" t="n">
        <v>1</v>
      </c>
      <c r="D77" s="5">
        <f>IF(C77="","",CHOOSE(C77,"jan","feb","mar","apr","mai","jun","jul","aug","sep","okt","nov","des"))</f>
        <v/>
      </c>
      <c r="E77" s="21" t="n">
        <v>2</v>
      </c>
      <c r="F77" s="21" t="n">
        <v>3</v>
      </c>
      <c r="G77" s="21" t="n">
        <v>4</v>
      </c>
      <c r="H77" s="18">
        <f>IF(COUNT(E77:G77)&lt;3,"",ROUND(IF(OR(E77=1,F77=1),MIN('Les meg'!$C$25,E77*'Les meg'!$C$21+F77*'Les meg'!$C$22+G77*'Les meg'!$C$23),E77*'Les meg'!$C$21+F77*'Les meg'!$C$22+G77*'Les meg'!$C$23),1))</f>
        <v/>
      </c>
      <c r="I77" s="21" t="n">
        <v>28.9</v>
      </c>
      <c r="J77" s="21" t="n">
        <v>152</v>
      </c>
      <c r="K77" s="21" t="inlineStr">
        <is>
          <t>Nordøstmonsun, grov sjø.</t>
        </is>
      </c>
    </row>
    <row r="78">
      <c r="A78" s="21" t="inlineStr">
        <is>
          <t>LKA-O</t>
        </is>
      </c>
      <c r="B78" s="5">
        <f>IFERROR(INDEX(Destinasjoner!$E$5:$E$64,MATCH(A78,Destinasjoner!$A$5:$A$64,0)),"")</f>
        <v/>
      </c>
      <c r="C78" s="21" t="n">
        <v>2</v>
      </c>
      <c r="D78" s="5">
        <f>IF(C78="","",CHOOSE(C78,"jan","feb","mar","apr","mai","jun","jul","aug","sep","okt","nov","des"))</f>
        <v/>
      </c>
      <c r="E78" s="21" t="n">
        <v>3</v>
      </c>
      <c r="F78" s="21" t="n">
        <v>3</v>
      </c>
      <c r="G78" s="21" t="n">
        <v>4</v>
      </c>
      <c r="H78" s="18">
        <f>IF(COUNT(E78:G78)&lt;3,"",ROUND(IF(OR(E78=1,F78=1),MIN('Les meg'!$C$25,E78*'Les meg'!$C$21+F78*'Les meg'!$C$22+G78*'Les meg'!$C$23),E78*'Les meg'!$C$21+F78*'Les meg'!$C$22+G78*'Les meg'!$C$23),1))</f>
        <v/>
      </c>
      <c r="I78" s="21" t="n">
        <v>30.1</v>
      </c>
      <c r="J78" s="21" t="n">
        <v>96</v>
      </c>
      <c r="K78" s="21" t="inlineStr">
        <is>
          <t>Regnet avtar.</t>
        </is>
      </c>
    </row>
    <row r="79">
      <c r="A79" s="21" t="inlineStr">
        <is>
          <t>LKA-O</t>
        </is>
      </c>
      <c r="B79" s="5">
        <f>IFERROR(INDEX(Destinasjoner!$E$5:$E$64,MATCH(A79,Destinasjoner!$A$5:$A$64,0)),"")</f>
        <v/>
      </c>
      <c r="C79" s="21" t="n">
        <v>3</v>
      </c>
      <c r="D79" s="5">
        <f>IF(C79="","",CHOOSE(C79,"jan","feb","mar","apr","mai","jun","jul","aug","sep","okt","nov","des"))</f>
        <v/>
      </c>
      <c r="E79" s="21" t="n">
        <v>4</v>
      </c>
      <c r="F79" s="21" t="n">
        <v>4</v>
      </c>
      <c r="G79" s="21" t="n">
        <v>4</v>
      </c>
      <c r="H79" s="18">
        <f>IF(COUNT(E79:G79)&lt;3,"",ROUND(IF(OR(E79=1,F79=1),MIN('Les meg'!$C$25,E79*'Les meg'!$C$21+F79*'Les meg'!$C$22+G79*'Les meg'!$C$23),E79*'Les meg'!$C$21+F79*'Les meg'!$C$22+G79*'Les meg'!$C$23),1))</f>
        <v/>
      </c>
      <c r="I79" s="21" t="n">
        <v>31.7</v>
      </c>
      <c r="J79" s="21" t="n">
        <v>72</v>
      </c>
      <c r="K79" s="21" t="inlineStr">
        <is>
          <t>Tørrere, roligere hav.</t>
        </is>
      </c>
    </row>
    <row r="80">
      <c r="A80" s="21" t="inlineStr">
        <is>
          <t>LKA-O</t>
        </is>
      </c>
      <c r="B80" s="5">
        <f>IFERROR(INDEX(Destinasjoner!$E$5:$E$64,MATCH(A80,Destinasjoner!$A$5:$A$64,0)),"")</f>
        <v/>
      </c>
      <c r="C80" s="21" t="n">
        <v>4</v>
      </c>
      <c r="D80" s="5">
        <f>IF(C80="","",CHOOSE(C80,"jan","feb","mar","apr","mai","jun","jul","aug","sep","okt","nov","des"))</f>
        <v/>
      </c>
      <c r="E80" s="21" t="n">
        <v>4</v>
      </c>
      <c r="F80" s="21" t="n">
        <v>4</v>
      </c>
      <c r="G80" s="21" t="n">
        <v>4</v>
      </c>
      <c r="H80" s="18">
        <f>IF(COUNT(E80:G80)&lt;3,"",ROUND(IF(OR(E80=1,F80=1),MIN('Les meg'!$C$25,E80*'Les meg'!$C$21+F80*'Les meg'!$C$22+G80*'Les meg'!$C$23),E80*'Les meg'!$C$21+F80*'Les meg'!$C$22+G80*'Les meg'!$C$23),1))</f>
        <v/>
      </c>
      <c r="I80" s="21" t="n">
        <v>33.4</v>
      </c>
      <c r="J80" s="21" t="n">
        <v>55</v>
      </c>
      <c r="K80" s="21" t="inlineStr">
        <is>
          <t>Tørt og varmt.</t>
        </is>
      </c>
    </row>
    <row r="81">
      <c r="A81" s="21" t="inlineStr">
        <is>
          <t>LKA-O</t>
        </is>
      </c>
      <c r="B81" s="5">
        <f>IFERROR(INDEX(Destinasjoner!$E$5:$E$64,MATCH(A81,Destinasjoner!$A$5:$A$64,0)),"")</f>
        <v/>
      </c>
      <c r="C81" s="21" t="n">
        <v>5</v>
      </c>
      <c r="D81" s="5">
        <f>IF(C81="","",CHOOSE(C81,"jan","feb","mar","apr","mai","jun","jul","aug","sep","okt","nov","des"))</f>
        <v/>
      </c>
      <c r="E81" s="21" t="n">
        <v>5</v>
      </c>
      <c r="F81" s="21" t="n">
        <v>5</v>
      </c>
      <c r="G81" s="21" t="n">
        <v>3</v>
      </c>
      <c r="H81" s="18">
        <f>IF(COUNT(E81:G81)&lt;3,"",ROUND(IF(OR(E81=1,F81=1),MIN('Les meg'!$C$25,E81*'Les meg'!$C$21+F81*'Les meg'!$C$22+G81*'Les meg'!$C$23),E81*'Les meg'!$C$21+F81*'Les meg'!$C$22+G81*'Les meg'!$C$23),1))</f>
        <v/>
      </c>
      <c r="I81" s="21" t="n">
        <v>35.2</v>
      </c>
      <c r="J81" s="21" t="n">
        <v>48</v>
      </c>
      <c r="K81" s="21" t="inlineStr">
        <is>
          <t>Sesongstart: rolig sjø, snorkling ved Pigeon Island.</t>
        </is>
      </c>
    </row>
    <row r="82">
      <c r="A82" s="21" t="inlineStr">
        <is>
          <t>LKA-O</t>
        </is>
      </c>
      <c r="B82" s="5">
        <f>IFERROR(INDEX(Destinasjoner!$E$5:$E$64,MATCH(A82,Destinasjoner!$A$5:$A$64,0)),"")</f>
        <v/>
      </c>
      <c r="C82" s="21" t="n">
        <v>6</v>
      </c>
      <c r="D82" s="5">
        <f>IF(C82="","",CHOOSE(C82,"jan","feb","mar","apr","mai","jun","jul","aug","sep","okt","nov","des"))</f>
        <v/>
      </c>
      <c r="E82" s="21" t="n">
        <v>4</v>
      </c>
      <c r="F82" s="21" t="n">
        <v>5</v>
      </c>
      <c r="G82" s="21" t="n">
        <v>3</v>
      </c>
      <c r="H82" s="18">
        <f>IF(COUNT(E82:G82)&lt;3,"",ROUND(IF(OR(E82=1,F82=1),MIN('Les meg'!$C$25,E82*'Les meg'!$C$21+F82*'Les meg'!$C$22+G82*'Les meg'!$C$23),E82*'Les meg'!$C$21+F82*'Les meg'!$C$22+G82*'Les meg'!$C$23),1))</f>
        <v/>
      </c>
      <c r="I82" s="21" t="n">
        <v>35.4</v>
      </c>
      <c r="J82" s="21" t="n">
        <v>26</v>
      </c>
      <c r="K82" s="21" t="inlineStr">
        <is>
          <t>Tørt og varmt (35 °C). Surfesesong Arugam Bay.</t>
        </is>
      </c>
    </row>
    <row r="83">
      <c r="A83" s="21" t="inlineStr">
        <is>
          <t>LKA-O</t>
        </is>
      </c>
      <c r="B83" s="5">
        <f>IFERROR(INDEX(Destinasjoner!$E$5:$E$64,MATCH(A83,Destinasjoner!$A$5:$A$64,0)),"")</f>
        <v/>
      </c>
      <c r="C83" s="21" t="n">
        <v>7</v>
      </c>
      <c r="D83" s="5">
        <f>IF(C83="","",CHOOSE(C83,"jan","feb","mar","apr","mai","jun","jul","aug","sep","okt","nov","des"))</f>
        <v/>
      </c>
      <c r="E83" s="21" t="n">
        <v>4</v>
      </c>
      <c r="F83" s="21" t="n">
        <v>5</v>
      </c>
      <c r="G83" s="21" t="n">
        <v>2</v>
      </c>
      <c r="H83" s="18">
        <f>IF(COUNT(E83:G83)&lt;3,"",ROUND(IF(OR(E83=1,F83=1),MIN('Les meg'!$C$25,E83*'Les meg'!$C$21+F83*'Les meg'!$C$22+G83*'Les meg'!$C$23),E83*'Les meg'!$C$21+F83*'Les meg'!$C$22+G83*'Les meg'!$C$23),1))</f>
        <v/>
      </c>
      <c r="I83" s="21" t="n">
        <v>35.3</v>
      </c>
      <c r="J83" s="21" t="n">
        <v>51</v>
      </c>
      <c r="K83" s="21" t="inlineStr">
        <is>
          <t>Toppsesong på østkysten.</t>
        </is>
      </c>
    </row>
    <row r="84">
      <c r="A84" s="21" t="inlineStr">
        <is>
          <t>LKA-O</t>
        </is>
      </c>
      <c r="B84" s="5">
        <f>IFERROR(INDEX(Destinasjoner!$E$5:$E$64,MATCH(A84,Destinasjoner!$A$5:$A$64,0)),"")</f>
        <v/>
      </c>
      <c r="C84" s="21" t="n">
        <v>8</v>
      </c>
      <c r="D84" s="5">
        <f>IF(C84="","",CHOOSE(C84,"jan","feb","mar","apr","mai","jun","jul","aug","sep","okt","nov","des"))</f>
        <v/>
      </c>
      <c r="E84" s="21" t="n">
        <v>4</v>
      </c>
      <c r="F84" s="21" t="n">
        <v>5</v>
      </c>
      <c r="G84" s="21" t="n">
        <v>2</v>
      </c>
      <c r="H84" s="18">
        <f>IF(COUNT(E84:G84)&lt;3,"",ROUND(IF(OR(E84=1,F84=1),MIN('Les meg'!$C$25,E84*'Les meg'!$C$21+F84*'Les meg'!$C$22+G84*'Les meg'!$C$23),E84*'Les meg'!$C$21+F84*'Les meg'!$C$22+G84*'Les meg'!$C$23),1))</f>
        <v/>
      </c>
      <c r="I84" s="21" t="n">
        <v>35.3</v>
      </c>
      <c r="J84" s="21" t="n">
        <v>67</v>
      </c>
      <c r="K84" s="21" t="inlineStr">
        <is>
          <t>Toppsesong; surf og hval.</t>
        </is>
      </c>
    </row>
    <row r="85">
      <c r="A85" s="21" t="inlineStr">
        <is>
          <t>LKA-O</t>
        </is>
      </c>
      <c r="B85" s="5">
        <f>IFERROR(INDEX(Destinasjoner!$E$5:$E$64,MATCH(A85,Destinasjoner!$A$5:$A$64,0)),"")</f>
        <v/>
      </c>
      <c r="C85" s="21" t="n">
        <v>9</v>
      </c>
      <c r="D85" s="5">
        <f>IF(C85="","",CHOOSE(C85,"jan","feb","mar","apr","mai","jun","jul","aug","sep","okt","nov","des"))</f>
        <v/>
      </c>
      <c r="E85" s="21" t="n">
        <v>4</v>
      </c>
      <c r="F85" s="21" t="n">
        <v>4</v>
      </c>
      <c r="G85" s="21" t="n">
        <v>3</v>
      </c>
      <c r="H85" s="18">
        <f>IF(COUNT(E85:G85)&lt;3,"",ROUND(IF(OR(E85=1,F85=1),MIN('Les meg'!$C$25,E85*'Les meg'!$C$21+F85*'Les meg'!$C$22+G85*'Les meg'!$C$23),E85*'Les meg'!$C$21+F85*'Les meg'!$C$22+G85*'Les meg'!$C$23),1))</f>
        <v/>
      </c>
      <c r="I85" s="21" t="n">
        <v>34.8</v>
      </c>
      <c r="J85" s="21" t="n">
        <v>113</v>
      </c>
      <c r="K85" s="21" t="inlineStr">
        <is>
          <t>Fortsatt fint, sesongslutt.</t>
        </is>
      </c>
    </row>
    <row r="86">
      <c r="A86" s="21" t="inlineStr">
        <is>
          <t>LKA-O</t>
        </is>
      </c>
      <c r="B86" s="5">
        <f>IFERROR(INDEX(Destinasjoner!$E$5:$E$64,MATCH(A86,Destinasjoner!$A$5:$A$64,0)),"")</f>
        <v/>
      </c>
      <c r="C86" s="21" t="n">
        <v>10</v>
      </c>
      <c r="D86" s="5">
        <f>IF(C86="","",CHOOSE(C86,"jan","feb","mar","apr","mai","jun","jul","aug","sep","okt","nov","des"))</f>
        <v/>
      </c>
      <c r="E86" s="21" t="n">
        <v>2</v>
      </c>
      <c r="F86" s="21" t="n">
        <v>3</v>
      </c>
      <c r="G86" s="21" t="n">
        <v>5</v>
      </c>
      <c r="H86" s="18">
        <f>IF(COUNT(E86:G86)&lt;3,"",ROUND(IF(OR(E86=1,F86=1),MIN('Les meg'!$C$25,E86*'Les meg'!$C$21+F86*'Les meg'!$C$22+G86*'Les meg'!$C$23),E86*'Les meg'!$C$21+F86*'Les meg'!$C$22+G86*'Les meg'!$C$23),1))</f>
        <v/>
      </c>
      <c r="I86" s="21" t="n">
        <v>32.4</v>
      </c>
      <c r="J86" s="21" t="n">
        <v>216</v>
      </c>
      <c r="K86" s="21" t="inlineStr">
        <is>
          <t>Monsunen starter.</t>
        </is>
      </c>
    </row>
    <row r="87">
      <c r="A87" s="21" t="inlineStr">
        <is>
          <t>LKA-O</t>
        </is>
      </c>
      <c r="B87" s="5">
        <f>IFERROR(INDEX(Destinasjoner!$E$5:$E$64,MATCH(A87,Destinasjoner!$A$5:$A$64,0)),"")</f>
        <v/>
      </c>
      <c r="C87" s="21" t="n">
        <v>11</v>
      </c>
      <c r="D87" s="5">
        <f>IF(C87="","",CHOOSE(C87,"jan","feb","mar","apr","mai","jun","jul","aug","sep","okt","nov","des"))</f>
        <v/>
      </c>
      <c r="E87" s="21" t="n">
        <v>1</v>
      </c>
      <c r="F87" s="21" t="n">
        <v>1</v>
      </c>
      <c r="G87" s="21" t="n">
        <v>5</v>
      </c>
      <c r="H87" s="18">
        <f>IF(COUNT(E87:G87)&lt;3,"",ROUND(IF(OR(E87=1,F87=1),MIN('Les meg'!$C$25,E87*'Les meg'!$C$21+F87*'Les meg'!$C$22+G87*'Les meg'!$C$23),E87*'Les meg'!$C$21+F87*'Les meg'!$C$22+G87*'Les meg'!$C$23),1))</f>
        <v/>
      </c>
      <c r="I87" s="21" t="n">
        <v>29.8</v>
      </c>
      <c r="J87" s="21" t="n">
        <v>376</v>
      </c>
      <c r="K87" s="21" t="inlineStr">
        <is>
          <t>Topp regn (376 mm). Mange hoteller stengt.</t>
        </is>
      </c>
    </row>
    <row r="88">
      <c r="A88" s="21" t="inlineStr">
        <is>
          <t>LKA-O</t>
        </is>
      </c>
      <c r="B88" s="5">
        <f>IFERROR(INDEX(Destinasjoner!$E$5:$E$64,MATCH(A88,Destinasjoner!$A$5:$A$64,0)),"")</f>
        <v/>
      </c>
      <c r="C88" s="21" t="n">
        <v>12</v>
      </c>
      <c r="D88" s="5">
        <f>IF(C88="","",CHOOSE(C88,"jan","feb","mar","apr","mai","jun","jul","aug","sep","okt","nov","des"))</f>
        <v/>
      </c>
      <c r="E88" s="21" t="n">
        <v>1</v>
      </c>
      <c r="F88" s="21" t="n">
        <v>2</v>
      </c>
      <c r="G88" s="21" t="n">
        <v>5</v>
      </c>
      <c r="H88" s="18">
        <f>IF(COUNT(E88:G88)&lt;3,"",ROUND(IF(OR(E88=1,F88=1),MIN('Les meg'!$C$25,E88*'Les meg'!$C$21+F88*'Les meg'!$C$22+G88*'Les meg'!$C$23),E88*'Les meg'!$C$21+F88*'Les meg'!$C$22+G88*'Les meg'!$C$23),1))</f>
        <v/>
      </c>
      <c r="I88" s="21" t="n">
        <v>28.8</v>
      </c>
      <c r="J88" s="21" t="n">
        <v>339</v>
      </c>
      <c r="K88" s="21" t="inlineStr">
        <is>
          <t>Monsun.</t>
        </is>
      </c>
    </row>
    <row r="89">
      <c r="A89" s="21" t="inlineStr">
        <is>
          <t>CHN</t>
        </is>
      </c>
      <c r="B89" s="5">
        <f>IFERROR(INDEX(Destinasjoner!$E$5:$E$64,MATCH(A89,Destinasjoner!$A$5:$A$64,0)),"")</f>
        <v/>
      </c>
      <c r="C89" s="21" t="n">
        <v>1</v>
      </c>
      <c r="D89" s="5">
        <f>IF(C89="","",CHOOSE(C89,"jan","feb","mar","apr","mai","jun","jul","aug","sep","okt","nov","des"))</f>
        <v/>
      </c>
      <c r="E89" s="21" t="n">
        <v>2</v>
      </c>
      <c r="F89" s="21" t="n">
        <v>3</v>
      </c>
      <c r="G89" s="21" t="n">
        <v>4</v>
      </c>
      <c r="H89" s="18">
        <f>IF(COUNT(E89:G89)&lt;3,"",ROUND(IF(OR(E89=1,F89=1),MIN('Les meg'!$C$25,E89*'Les meg'!$C$21+F89*'Les meg'!$C$22+G89*'Les meg'!$C$23),E89*'Les meg'!$C$21+F89*'Les meg'!$C$22+G89*'Les meg'!$C$23),1))</f>
        <v/>
      </c>
      <c r="I89" s="21" t="n">
        <v>2.3</v>
      </c>
      <c r="J89" s="21" t="n">
        <v>2</v>
      </c>
      <c r="K89" s="21" t="inlineStr">
        <is>
          <t>Beijing kaldt (maks 2 °C), tørt, smogfare. Kinesisk nyttår jan/feb (se Vinduer).</t>
        </is>
      </c>
    </row>
    <row r="90">
      <c r="A90" s="21" t="inlineStr">
        <is>
          <t>CHN</t>
        </is>
      </c>
      <c r="B90" s="5">
        <f>IFERROR(INDEX(Destinasjoner!$E$5:$E$64,MATCH(A90,Destinasjoner!$A$5:$A$64,0)),"")</f>
        <v/>
      </c>
      <c r="C90" s="21" t="n">
        <v>2</v>
      </c>
      <c r="D90" s="5">
        <f>IF(C90="","",CHOOSE(C90,"jan","feb","mar","apr","mai","jun","jul","aug","sep","okt","nov","des"))</f>
        <v/>
      </c>
      <c r="E90" s="21" t="n">
        <v>2</v>
      </c>
      <c r="F90" s="21" t="n">
        <v>3</v>
      </c>
      <c r="G90" s="21" t="n">
        <v>3</v>
      </c>
      <c r="H90" s="18">
        <f>IF(COUNT(E90:G90)&lt;3,"",ROUND(IF(OR(E90=1,F90=1),MIN('Les meg'!$C$25,E90*'Les meg'!$C$21+F90*'Les meg'!$C$22+G90*'Les meg'!$C$23),E90*'Les meg'!$C$21+F90*'Les meg'!$C$22+G90*'Les meg'!$C$23),1))</f>
        <v/>
      </c>
      <c r="I90" s="21" t="n">
        <v>6.1</v>
      </c>
      <c r="J90" s="21" t="n">
        <v>6</v>
      </c>
      <c r="K90" s="21" t="inlineStr">
        <is>
          <t>Kaldt. Nyttårsferie.</t>
        </is>
      </c>
    </row>
    <row r="91">
      <c r="A91" s="21" t="inlineStr">
        <is>
          <t>CHN</t>
        </is>
      </c>
      <c r="B91" s="5">
        <f>IFERROR(INDEX(Destinasjoner!$E$5:$E$64,MATCH(A91,Destinasjoner!$A$5:$A$64,0)),"")</f>
        <v/>
      </c>
      <c r="C91" s="21" t="n">
        <v>3</v>
      </c>
      <c r="D91" s="5">
        <f>IF(C91="","",CHOOSE(C91,"jan","feb","mar","apr","mai","jun","jul","aug","sep","okt","nov","des"))</f>
        <v/>
      </c>
      <c r="E91" s="21" t="n">
        <v>3</v>
      </c>
      <c r="F91" s="21" t="n">
        <v>3</v>
      </c>
      <c r="G91" s="21" t="n">
        <v>4</v>
      </c>
      <c r="H91" s="18">
        <f>IF(COUNT(E91:G91)&lt;3,"",ROUND(IF(OR(E91=1,F91=1),MIN('Les meg'!$C$25,E91*'Les meg'!$C$21+F91*'Les meg'!$C$22+G91*'Les meg'!$C$23),E91*'Les meg'!$C$21+F91*'Les meg'!$C$22+G91*'Les meg'!$C$23),1))</f>
        <v/>
      </c>
      <c r="I91" s="21" t="n">
        <v>13.2</v>
      </c>
      <c r="J91" s="21" t="n">
        <v>9</v>
      </c>
      <c r="K91" s="21" t="inlineStr">
        <is>
          <t>Mildere; vårstøv/sandstorm i Beijing.</t>
        </is>
      </c>
    </row>
    <row r="92">
      <c r="A92" s="21" t="inlineStr">
        <is>
          <t>CHN</t>
        </is>
      </c>
      <c r="B92" s="5">
        <f>IFERROR(INDEX(Destinasjoner!$E$5:$E$64,MATCH(A92,Destinasjoner!$A$5:$A$64,0)),"")</f>
        <v/>
      </c>
      <c r="C92" s="21" t="n">
        <v>4</v>
      </c>
      <c r="D92" s="5">
        <f>IF(C92="","",CHOOSE(C92,"jan","feb","mar","apr","mai","jun","jul","aug","sep","okt","nov","des"))</f>
        <v/>
      </c>
      <c r="E92" s="21" t="n">
        <v>5</v>
      </c>
      <c r="F92" s="21" t="n">
        <v>5</v>
      </c>
      <c r="G92" s="21" t="n">
        <v>3</v>
      </c>
      <c r="H92" s="18">
        <f>IF(COUNT(E92:G92)&lt;3,"",ROUND(IF(OR(E92=1,F92=1),MIN('Les meg'!$C$25,E92*'Les meg'!$C$21+F92*'Les meg'!$C$22+G92*'Les meg'!$C$23),E92*'Les meg'!$C$21+F92*'Les meg'!$C$22+G92*'Les meg'!$C$23),1))</f>
        <v/>
      </c>
      <c r="I92" s="21" t="n">
        <v>21</v>
      </c>
      <c r="J92" s="21" t="n">
        <v>22</v>
      </c>
      <c r="K92" s="21" t="inlineStr">
        <is>
          <t>Vår og blomstring, fint i begge byer.</t>
        </is>
      </c>
    </row>
    <row r="93">
      <c r="A93" s="21" t="inlineStr">
        <is>
          <t>CHN</t>
        </is>
      </c>
      <c r="B93" s="5">
        <f>IFERROR(INDEX(Destinasjoner!$E$5:$E$64,MATCH(A93,Destinasjoner!$A$5:$A$64,0)),"")</f>
        <v/>
      </c>
      <c r="C93" s="21" t="n">
        <v>5</v>
      </c>
      <c r="D93" s="5">
        <f>IF(C93="","",CHOOSE(C93,"jan","feb","mar","apr","mai","jun","jul","aug","sep","okt","nov","des"))</f>
        <v/>
      </c>
      <c r="E93" s="21" t="n">
        <v>5</v>
      </c>
      <c r="F93" s="21" t="n">
        <v>5</v>
      </c>
      <c r="G93" s="21" t="n">
        <v>3</v>
      </c>
      <c r="H93" s="18">
        <f>IF(COUNT(E93:G93)&lt;3,"",ROUND(IF(OR(E93=1,F93=1),MIN('Les meg'!$C$25,E93*'Les meg'!$C$21+F93*'Les meg'!$C$22+G93*'Les meg'!$C$23),E93*'Les meg'!$C$21+F93*'Les meg'!$C$22+G93*'Les meg'!$C$23),1))</f>
        <v/>
      </c>
      <c r="I93" s="21" t="n">
        <v>27.2</v>
      </c>
      <c r="J93" s="21" t="n">
        <v>36</v>
      </c>
      <c r="K93" s="21" t="inlineStr">
        <is>
          <t>Varmt og behagelig. Ferie 1.–5. mai (se Vinduer).</t>
        </is>
      </c>
    </row>
    <row r="94">
      <c r="A94" s="21" t="inlineStr">
        <is>
          <t>CHN</t>
        </is>
      </c>
      <c r="B94" s="5">
        <f>IFERROR(INDEX(Destinasjoner!$E$5:$E$64,MATCH(A94,Destinasjoner!$A$5:$A$64,0)),"")</f>
        <v/>
      </c>
      <c r="C94" s="21" t="n">
        <v>6</v>
      </c>
      <c r="D94" s="5">
        <f>IF(C94="","",CHOOSE(C94,"jan","feb","mar","apr","mai","jun","jul","aug","sep","okt","nov","des"))</f>
        <v/>
      </c>
      <c r="E94" s="21" t="n">
        <v>3</v>
      </c>
      <c r="F94" s="21" t="n">
        <v>4</v>
      </c>
      <c r="G94" s="21" t="n">
        <v>4</v>
      </c>
      <c r="H94" s="18">
        <f>IF(COUNT(E94:G94)&lt;3,"",ROUND(IF(OR(E94=1,F94=1),MIN('Les meg'!$C$25,E94*'Les meg'!$C$21+F94*'Les meg'!$C$22+G94*'Les meg'!$C$23),E94*'Les meg'!$C$21+F94*'Les meg'!$C$22+G94*'Les meg'!$C$23),1))</f>
        <v/>
      </c>
      <c r="I94" s="21" t="n">
        <v>30.8</v>
      </c>
      <c r="J94" s="21" t="n">
        <v>72</v>
      </c>
      <c r="K94" s="21" t="inlineStr">
        <is>
          <t>Varmt; plommeregn (meiyu) i Shanghai (225 mm).</t>
        </is>
      </c>
    </row>
    <row r="95">
      <c r="A95" s="21" t="inlineStr">
        <is>
          <t>CHN</t>
        </is>
      </c>
      <c r="B95" s="5">
        <f>IFERROR(INDEX(Destinasjoner!$E$5:$E$64,MATCH(A95,Destinasjoner!$A$5:$A$64,0)),"")</f>
        <v/>
      </c>
      <c r="C95" s="21" t="n">
        <v>7</v>
      </c>
      <c r="D95" s="5">
        <f>IF(C95="","",CHOOSE(C95,"jan","feb","mar","apr","mai","jun","jul","aug","sep","okt","nov","des"))</f>
        <v/>
      </c>
      <c r="E95" s="21" t="n">
        <v>2</v>
      </c>
      <c r="F95" s="21" t="n">
        <v>3</v>
      </c>
      <c r="G95" s="21" t="n">
        <v>3</v>
      </c>
      <c r="H95" s="18">
        <f>IF(COUNT(E95:G95)&lt;3,"",ROUND(IF(OR(E95=1,F95=1),MIN('Les meg'!$C$25,E95*'Les meg'!$C$21+F95*'Les meg'!$C$22+G95*'Les meg'!$C$23),E95*'Les meg'!$C$21+F95*'Les meg'!$C$22+G95*'Les meg'!$C$23),1))</f>
        <v/>
      </c>
      <c r="I95" s="21" t="n">
        <v>31.8</v>
      </c>
      <c r="J95" s="21" t="n">
        <v>170</v>
      </c>
      <c r="K95" s="21" t="inlineStr">
        <is>
          <t>Hett og fuktig, regntopp i Beijing. Skoleferie.</t>
        </is>
      </c>
    </row>
    <row r="96">
      <c r="A96" s="21" t="inlineStr">
        <is>
          <t>CHN</t>
        </is>
      </c>
      <c r="B96" s="5">
        <f>IFERROR(INDEX(Destinasjoner!$E$5:$E$64,MATCH(A96,Destinasjoner!$A$5:$A$64,0)),"")</f>
        <v/>
      </c>
      <c r="C96" s="21" t="n">
        <v>8</v>
      </c>
      <c r="D96" s="5">
        <f>IF(C96="","",CHOOSE(C96,"jan","feb","mar","apr","mai","jun","jul","aug","sep","okt","nov","des"))</f>
        <v/>
      </c>
      <c r="E96" s="21" t="n">
        <v>2</v>
      </c>
      <c r="F96" s="21" t="n">
        <v>3</v>
      </c>
      <c r="G96" s="21" t="n">
        <v>3</v>
      </c>
      <c r="H96" s="18">
        <f>IF(COUNT(E96:G96)&lt;3,"",ROUND(IF(OR(E96=1,F96=1),MIN('Les meg'!$C$25,E96*'Les meg'!$C$21+F96*'Les meg'!$C$22+G96*'Les meg'!$C$23),E96*'Les meg'!$C$21+F96*'Les meg'!$C$22+G96*'Les meg'!$C$23),1))</f>
        <v/>
      </c>
      <c r="I96" s="21" t="n">
        <v>30.7</v>
      </c>
      <c r="J96" s="21" t="n">
        <v>113</v>
      </c>
      <c r="K96" s="21" t="inlineStr">
        <is>
          <t>Hett; tyfonrisiko i Shanghai.</t>
        </is>
      </c>
    </row>
    <row r="97">
      <c r="A97" s="21" t="inlineStr">
        <is>
          <t>CHN</t>
        </is>
      </c>
      <c r="B97" s="5">
        <f>IFERROR(INDEX(Destinasjoner!$E$5:$E$64,MATCH(A97,Destinasjoner!$A$5:$A$64,0)),"")</f>
        <v/>
      </c>
      <c r="C97" s="21" t="n">
        <v>9</v>
      </c>
      <c r="D97" s="5">
        <f>IF(C97="","",CHOOSE(C97,"jan","feb","mar","apr","mai","jun","jul","aug","sep","okt","nov","des"))</f>
        <v/>
      </c>
      <c r="E97" s="21" t="n">
        <v>4</v>
      </c>
      <c r="F97" s="21" t="n">
        <v>5</v>
      </c>
      <c r="G97" s="21" t="n">
        <v>3</v>
      </c>
      <c r="H97" s="18">
        <f>IF(COUNT(E97:G97)&lt;3,"",ROUND(IF(OR(E97=1,F97=1),MIN('Les meg'!$C$25,E97*'Les meg'!$C$21+F97*'Les meg'!$C$22+G97*'Les meg'!$C$23),E97*'Les meg'!$C$21+F97*'Les meg'!$C$22+G97*'Les meg'!$C$23),1))</f>
        <v/>
      </c>
      <c r="I97" s="21" t="n">
        <v>26.5</v>
      </c>
      <c r="J97" s="21" t="n">
        <v>54</v>
      </c>
      <c r="K97" s="21" t="inlineStr">
        <is>
          <t>Tørrere og behagelig. Høstsesong starter.</t>
        </is>
      </c>
    </row>
    <row r="98">
      <c r="A98" s="21" t="inlineStr">
        <is>
          <t>CHN</t>
        </is>
      </c>
      <c r="B98" s="5">
        <f>IFERROR(INDEX(Destinasjoner!$E$5:$E$64,MATCH(A98,Destinasjoner!$A$5:$A$64,0)),"")</f>
        <v/>
      </c>
      <c r="C98" s="21" t="n">
        <v>10</v>
      </c>
      <c r="D98" s="5">
        <f>IF(C98="","",CHOOSE(C98,"jan","feb","mar","apr","mai","jun","jul","aug","sep","okt","nov","des"))</f>
        <v/>
      </c>
      <c r="E98" s="21" t="n">
        <v>5</v>
      </c>
      <c r="F98" s="21" t="n">
        <v>5</v>
      </c>
      <c r="G98" s="21" t="n">
        <v>3</v>
      </c>
      <c r="H98" s="18">
        <f>IF(COUNT(E98:G98)&lt;3,"",ROUND(IF(OR(E98=1,F98=1),MIN('Les meg'!$C$25,E98*'Les meg'!$C$21+F98*'Les meg'!$C$22+G98*'Les meg'!$C$23),E98*'Les meg'!$C$21+F98*'Les meg'!$C$22+G98*'Les meg'!$C$23),1))</f>
        <v/>
      </c>
      <c r="I98" s="21" t="n">
        <v>19.3</v>
      </c>
      <c r="J98" s="21" t="n">
        <v>29</v>
      </c>
      <c r="K98" s="21" t="inlineStr">
        <is>
          <t>Beste måned – unngå Golden Week 1.–7.10 (se Vinduer).</t>
        </is>
      </c>
    </row>
    <row r="99">
      <c r="A99" s="21" t="inlineStr">
        <is>
          <t>CHN</t>
        </is>
      </c>
      <c r="B99" s="5">
        <f>IFERROR(INDEX(Destinasjoner!$E$5:$E$64,MATCH(A99,Destinasjoner!$A$5:$A$64,0)),"")</f>
        <v/>
      </c>
      <c r="C99" s="21" t="n">
        <v>11</v>
      </c>
      <c r="D99" s="5">
        <f>IF(C99="","",CHOOSE(C99,"jan","feb","mar","apr","mai","jun","jul","aug","sep","okt","nov","des"))</f>
        <v/>
      </c>
      <c r="E99" s="21" t="n">
        <v>4</v>
      </c>
      <c r="F99" s="21" t="n">
        <v>4</v>
      </c>
      <c r="G99" s="21" t="n">
        <v>4</v>
      </c>
      <c r="H99" s="18">
        <f>IF(COUNT(E99:G99)&lt;3,"",ROUND(IF(OR(E99=1,F99=1),MIN('Les meg'!$C$25,E99*'Les meg'!$C$21+F99*'Les meg'!$C$22+G99*'Les meg'!$C$23),E99*'Les meg'!$C$21+F99*'Les meg'!$C$22+G99*'Les meg'!$C$23),1))</f>
        <v/>
      </c>
      <c r="I99" s="21" t="n">
        <v>10.3</v>
      </c>
      <c r="J99" s="21" t="n">
        <v>14</v>
      </c>
      <c r="K99" s="21" t="inlineStr">
        <is>
          <t>Kjølig og klart, høstfarger.</t>
        </is>
      </c>
    </row>
    <row r="100">
      <c r="A100" s="21" t="inlineStr">
        <is>
          <t>CHN</t>
        </is>
      </c>
      <c r="B100" s="5">
        <f>IFERROR(INDEX(Destinasjoner!$E$5:$E$64,MATCH(A100,Destinasjoner!$A$5:$A$64,0)),"")</f>
        <v/>
      </c>
      <c r="C100" s="21" t="n">
        <v>12</v>
      </c>
      <c r="D100" s="5">
        <f>IF(C100="","",CHOOSE(C100,"jan","feb","mar","apr","mai","jun","jul","aug","sep","okt","nov","des"))</f>
        <v/>
      </c>
      <c r="E100" s="21" t="n">
        <v>2</v>
      </c>
      <c r="F100" s="21" t="n">
        <v>3</v>
      </c>
      <c r="G100" s="21" t="n">
        <v>5</v>
      </c>
      <c r="H100" s="18">
        <f>IF(COUNT(E100:G100)&lt;3,"",ROUND(IF(OR(E100=1,F100=1),MIN('Les meg'!$C$25,E100*'Les meg'!$C$21+F100*'Les meg'!$C$22+G100*'Les meg'!$C$23),E100*'Les meg'!$C$21+F100*'Les meg'!$C$22+G100*'Les meg'!$C$23),1))</f>
        <v/>
      </c>
      <c r="I100" s="21" t="n">
        <v>3.7</v>
      </c>
      <c r="J100" s="21" t="n">
        <v>2</v>
      </c>
      <c r="K100" s="21" t="inlineStr">
        <is>
          <t>Kaldt; grått i Shanghai.</t>
        </is>
      </c>
    </row>
    <row r="101">
      <c r="A101" s="21" t="inlineStr">
        <is>
          <t>PYF</t>
        </is>
      </c>
      <c r="B101" s="5">
        <f>IFERROR(INDEX(Destinasjoner!$E$5:$E$64,MATCH(A101,Destinasjoner!$A$5:$A$64,0)),"")</f>
        <v/>
      </c>
      <c r="C101" s="21" t="n">
        <v>1</v>
      </c>
      <c r="D101" s="5">
        <f>IF(C101="","",CHOOSE(C101,"jan","feb","mar","apr","mai","jun","jul","aug","sep","okt","nov","des"))</f>
        <v/>
      </c>
      <c r="E101" s="21" t="n">
        <v>2</v>
      </c>
      <c r="F101" s="21" t="n">
        <v>3</v>
      </c>
      <c r="G101" s="21" t="n">
        <v>4</v>
      </c>
      <c r="H101" s="18">
        <f>IF(COUNT(E101:G101)&lt;3,"",ROUND(IF(OR(E101=1,F101=1),MIN('Les meg'!$C$25,E101*'Les meg'!$C$21+F101*'Les meg'!$C$22+G101*'Les meg'!$C$23),E101*'Les meg'!$C$21+F101*'Les meg'!$C$22+G101*'Les meg'!$C$23),1))</f>
        <v/>
      </c>
      <c r="I101" s="21" t="n">
        <v>31.2</v>
      </c>
      <c r="J101" s="21" t="n">
        <v>318</v>
      </c>
      <c r="K101" s="21" t="inlineStr">
        <is>
          <t>Regntid, fuktig; syklonrisiko (lav–moderat).</t>
        </is>
      </c>
    </row>
    <row r="102">
      <c r="A102" s="21" t="inlineStr">
        <is>
          <t>PYF</t>
        </is>
      </c>
      <c r="B102" s="5">
        <f>IFERROR(INDEX(Destinasjoner!$E$5:$E$64,MATCH(A102,Destinasjoner!$A$5:$A$64,0)),"")</f>
        <v/>
      </c>
      <c r="C102" s="21" t="n">
        <v>2</v>
      </c>
      <c r="D102" s="5">
        <f>IF(C102="","",CHOOSE(C102,"jan","feb","mar","apr","mai","jun","jul","aug","sep","okt","nov","des"))</f>
        <v/>
      </c>
      <c r="E102" s="21" t="n">
        <v>2</v>
      </c>
      <c r="F102" s="21" t="n">
        <v>3</v>
      </c>
      <c r="G102" s="21" t="n">
        <v>4</v>
      </c>
      <c r="H102" s="18">
        <f>IF(COUNT(E102:G102)&lt;3,"",ROUND(IF(OR(E102=1,F102=1),MIN('Les meg'!$C$25,E102*'Les meg'!$C$21+F102*'Les meg'!$C$22+G102*'Les meg'!$C$23),E102*'Les meg'!$C$21+F102*'Les meg'!$C$22+G102*'Les meg'!$C$23),1))</f>
        <v/>
      </c>
      <c r="I102" s="21" t="n">
        <v>31.4</v>
      </c>
      <c r="J102" s="21" t="n">
        <v>278</v>
      </c>
      <c r="K102" s="21" t="inlineStr">
        <is>
          <t>Regntid, syklonrisiko.</t>
        </is>
      </c>
    </row>
    <row r="103">
      <c r="A103" s="21" t="inlineStr">
        <is>
          <t>PYF</t>
        </is>
      </c>
      <c r="B103" s="5">
        <f>IFERROR(INDEX(Destinasjoner!$E$5:$E$64,MATCH(A103,Destinasjoner!$A$5:$A$64,0)),"")</f>
        <v/>
      </c>
      <c r="C103" s="21" t="n">
        <v>3</v>
      </c>
      <c r="D103" s="5">
        <f>IF(C103="","",CHOOSE(C103,"jan","feb","mar","apr","mai","jun","jul","aug","sep","okt","nov","des"))</f>
        <v/>
      </c>
      <c r="E103" s="21" t="n">
        <v>2</v>
      </c>
      <c r="F103" s="21" t="n">
        <v>3</v>
      </c>
      <c r="G103" s="21" t="n">
        <v>4</v>
      </c>
      <c r="H103" s="18">
        <f>IF(COUNT(E103:G103)&lt;3,"",ROUND(IF(OR(E103=1,F103=1),MIN('Les meg'!$C$25,E103*'Les meg'!$C$21+F103*'Les meg'!$C$22+G103*'Les meg'!$C$23),E103*'Les meg'!$C$21+F103*'Les meg'!$C$22+G103*'Les meg'!$C$23),1))</f>
        <v/>
      </c>
      <c r="I103" s="21" t="n">
        <v>31.9</v>
      </c>
      <c r="J103" s="21" t="n">
        <v>240</v>
      </c>
      <c r="K103" s="21" t="inlineStr">
        <is>
          <t>Regntid avtar.</t>
        </is>
      </c>
    </row>
    <row r="104">
      <c r="A104" s="21" t="inlineStr">
        <is>
          <t>PYF</t>
        </is>
      </c>
      <c r="B104" s="5">
        <f>IFERROR(INDEX(Destinasjoner!$E$5:$E$64,MATCH(A104,Destinasjoner!$A$5:$A$64,0)),"")</f>
        <v/>
      </c>
      <c r="C104" s="21" t="n">
        <v>4</v>
      </c>
      <c r="D104" s="5">
        <f>IF(C104="","",CHOOSE(C104,"jan","feb","mar","apr","mai","jun","jul","aug","sep","okt","nov","des"))</f>
        <v/>
      </c>
      <c r="E104" s="21" t="n">
        <v>3</v>
      </c>
      <c r="F104" s="21" t="n">
        <v>3</v>
      </c>
      <c r="G104" s="21" t="n">
        <v>4</v>
      </c>
      <c r="H104" s="18">
        <f>IF(COUNT(E104:G104)&lt;3,"",ROUND(IF(OR(E104=1,F104=1),MIN('Les meg'!$C$25,E104*'Les meg'!$C$21+F104*'Les meg'!$C$22+G104*'Les meg'!$C$23),E104*'Les meg'!$C$21+F104*'Les meg'!$C$22+G104*'Les meg'!$C$23),1))</f>
        <v/>
      </c>
      <c r="I104" s="21" t="n">
        <v>31.8</v>
      </c>
      <c r="J104" s="21" t="n">
        <v>143</v>
      </c>
      <c r="K104" s="21" t="inlineStr">
        <is>
          <t>Overgang, mindre regn.</t>
        </is>
      </c>
    </row>
    <row r="105">
      <c r="A105" s="21" t="inlineStr">
        <is>
          <t>PYF</t>
        </is>
      </c>
      <c r="B105" s="5">
        <f>IFERROR(INDEX(Destinasjoner!$E$5:$E$64,MATCH(A105,Destinasjoner!$A$5:$A$64,0)),"")</f>
        <v/>
      </c>
      <c r="C105" s="21" t="n">
        <v>5</v>
      </c>
      <c r="D105" s="5">
        <f>IF(C105="","",CHOOSE(C105,"jan","feb","mar","apr","mai","jun","jul","aug","sep","okt","nov","des"))</f>
        <v/>
      </c>
      <c r="E105" s="21" t="n">
        <v>4</v>
      </c>
      <c r="F105" s="21" t="n">
        <v>4</v>
      </c>
      <c r="G105" s="21" t="n">
        <v>3</v>
      </c>
      <c r="H105" s="18">
        <f>IF(COUNT(E105:G105)&lt;3,"",ROUND(IF(OR(E105=1,F105=1),MIN('Les meg'!$C$25,E105*'Les meg'!$C$21+F105*'Les meg'!$C$22+G105*'Les meg'!$C$23),E105*'Les meg'!$C$21+F105*'Les meg'!$C$22+G105*'Les meg'!$C$23),1))</f>
        <v/>
      </c>
      <c r="I105" s="21" t="n">
        <v>31.1</v>
      </c>
      <c r="J105" s="21" t="n">
        <v>150</v>
      </c>
      <c r="K105" s="21" t="inlineStr">
        <is>
          <t>Tørrsesongen starter.</t>
        </is>
      </c>
    </row>
    <row r="106">
      <c r="A106" s="21" t="inlineStr">
        <is>
          <t>PYF</t>
        </is>
      </c>
      <c r="B106" s="5">
        <f>IFERROR(INDEX(Destinasjoner!$E$5:$E$64,MATCH(A106,Destinasjoner!$A$5:$A$64,0)),"")</f>
        <v/>
      </c>
      <c r="C106" s="21" t="n">
        <v>6</v>
      </c>
      <c r="D106" s="5">
        <f>IF(C106="","",CHOOSE(C106,"jan","feb","mar","apr","mai","jun","jul","aug","sep","okt","nov","des"))</f>
        <v/>
      </c>
      <c r="E106" s="21" t="n">
        <v>5</v>
      </c>
      <c r="F106" s="21" t="n">
        <v>4</v>
      </c>
      <c r="G106" s="21" t="n">
        <v>3</v>
      </c>
      <c r="H106" s="18">
        <f>IF(COUNT(E106:G106)&lt;3,"",ROUND(IF(OR(E106=1,F106=1),MIN('Les meg'!$C$25,E106*'Les meg'!$C$21+F106*'Les meg'!$C$22+G106*'Les meg'!$C$23),E106*'Les meg'!$C$21+F106*'Les meg'!$C$22+G106*'Les meg'!$C$23),1))</f>
        <v/>
      </c>
      <c r="I106" s="21" t="n">
        <v>30.3</v>
      </c>
      <c r="J106" s="21" t="n">
        <v>81</v>
      </c>
      <c r="K106" s="21" t="inlineStr">
        <is>
          <t>Tørt, passatvind, klart.</t>
        </is>
      </c>
    </row>
    <row r="107">
      <c r="A107" s="21" t="inlineStr">
        <is>
          <t>PYF</t>
        </is>
      </c>
      <c r="B107" s="5">
        <f>IFERROR(INDEX(Destinasjoner!$E$5:$E$64,MATCH(A107,Destinasjoner!$A$5:$A$64,0)),"")</f>
        <v/>
      </c>
      <c r="C107" s="21" t="n">
        <v>7</v>
      </c>
      <c r="D107" s="5">
        <f>IF(C107="","",CHOOSE(C107,"jan","feb","mar","apr","mai","jun","jul","aug","sep","okt","nov","des"))</f>
        <v/>
      </c>
      <c r="E107" s="21" t="n">
        <v>5</v>
      </c>
      <c r="F107" s="21" t="n">
        <v>5</v>
      </c>
      <c r="G107" s="21" t="n">
        <v>2</v>
      </c>
      <c r="H107" s="18">
        <f>IF(COUNT(E107:G107)&lt;3,"",ROUND(IF(OR(E107=1,F107=1),MIN('Les meg'!$C$25,E107*'Les meg'!$C$21+F107*'Les meg'!$C$22+G107*'Les meg'!$C$23),E107*'Les meg'!$C$21+F107*'Les meg'!$C$22+G107*'Les meg'!$C$23),1))</f>
        <v/>
      </c>
      <c r="I107" s="21" t="n">
        <v>30</v>
      </c>
      <c r="J107" s="21" t="n">
        <v>63</v>
      </c>
      <c r="K107" s="21" t="inlineStr">
        <is>
          <t>Tørt. Heiva i Tahiti; knølhval ankommer. Europeisk ferie.</t>
        </is>
      </c>
    </row>
    <row r="108">
      <c r="A108" s="21" t="inlineStr">
        <is>
          <t>PYF</t>
        </is>
      </c>
      <c r="B108" s="5">
        <f>IFERROR(INDEX(Destinasjoner!$E$5:$E$64,MATCH(A108,Destinasjoner!$A$5:$A$64,0)),"")</f>
        <v/>
      </c>
      <c r="C108" s="21" t="n">
        <v>8</v>
      </c>
      <c r="D108" s="5">
        <f>IF(C108="","",CHOOSE(C108,"jan","feb","mar","apr","mai","jun","jul","aug","sep","okt","nov","des"))</f>
        <v/>
      </c>
      <c r="E108" s="21" t="n">
        <v>5</v>
      </c>
      <c r="F108" s="21" t="n">
        <v>5</v>
      </c>
      <c r="G108" s="21" t="n">
        <v>2</v>
      </c>
      <c r="H108" s="18">
        <f>IF(COUNT(E108:G108)&lt;3,"",ROUND(IF(OR(E108=1,F108=1),MIN('Les meg'!$C$25,E108*'Les meg'!$C$21+F108*'Les meg'!$C$22+G108*'Les meg'!$C$23),E108*'Les meg'!$C$21+F108*'Les meg'!$C$22+G108*'Les meg'!$C$23),1))</f>
        <v/>
      </c>
      <c r="I108" s="21" t="n">
        <v>30</v>
      </c>
      <c r="J108" s="21" t="n">
        <v>66</v>
      </c>
      <c r="K108" s="21" t="inlineStr">
        <is>
          <t>Tørt, hval. Høysesong.</t>
        </is>
      </c>
    </row>
    <row r="109">
      <c r="A109" s="21" t="inlineStr">
        <is>
          <t>PYF</t>
        </is>
      </c>
      <c r="B109" s="5">
        <f>IFERROR(INDEX(Destinasjoner!$E$5:$E$64,MATCH(A109,Destinasjoner!$A$5:$A$64,0)),"")</f>
        <v/>
      </c>
      <c r="C109" s="21" t="n">
        <v>9</v>
      </c>
      <c r="D109" s="5">
        <f>IF(C109="","",CHOOSE(C109,"jan","feb","mar","apr","mai","jun","jul","aug","sep","okt","nov","des"))</f>
        <v/>
      </c>
      <c r="E109" s="21" t="n">
        <v>5</v>
      </c>
      <c r="F109" s="21" t="n">
        <v>5</v>
      </c>
      <c r="G109" s="21" t="n">
        <v>3</v>
      </c>
      <c r="H109" s="18">
        <f>IF(COUNT(E109:G109)&lt;3,"",ROUND(IF(OR(E109=1,F109=1),MIN('Les meg'!$C$25,E109*'Les meg'!$C$21+F109*'Les meg'!$C$22+G109*'Les meg'!$C$23),E109*'Les meg'!$C$21+F109*'Les meg'!$C$22+G109*'Les meg'!$C$23),1))</f>
        <v/>
      </c>
      <c r="I109" s="21" t="n">
        <v>30.3</v>
      </c>
      <c r="J109" s="21" t="n">
        <v>64</v>
      </c>
      <c r="K109" s="21" t="inlineStr">
        <is>
          <t>Tørt, hvaltopp. Ofte beste balanse.</t>
        </is>
      </c>
    </row>
    <row r="110">
      <c r="A110" s="21" t="inlineStr">
        <is>
          <t>PYF</t>
        </is>
      </c>
      <c r="B110" s="5">
        <f>IFERROR(INDEX(Destinasjoner!$E$5:$E$64,MATCH(A110,Destinasjoner!$A$5:$A$64,0)),"")</f>
        <v/>
      </c>
      <c r="C110" s="21" t="n">
        <v>10</v>
      </c>
      <c r="D110" s="5">
        <f>IF(C110="","",CHOOSE(C110,"jan","feb","mar","apr","mai","jun","jul","aug","sep","okt","nov","des"))</f>
        <v/>
      </c>
      <c r="E110" s="21" t="n">
        <v>4</v>
      </c>
      <c r="F110" s="21" t="n">
        <v>5</v>
      </c>
      <c r="G110" s="21" t="n">
        <v>3</v>
      </c>
      <c r="H110" s="18">
        <f>IF(COUNT(E110:G110)&lt;3,"",ROUND(IF(OR(E110=1,F110=1),MIN('Les meg'!$C$25,E110*'Les meg'!$C$21+F110*'Les meg'!$C$22+G110*'Les meg'!$C$23),E110*'Les meg'!$C$21+F110*'Les meg'!$C$22+G110*'Les meg'!$C$23),1))</f>
        <v/>
      </c>
      <c r="I110" s="21" t="n">
        <v>30.5</v>
      </c>
      <c r="J110" s="21" t="n">
        <v>121</v>
      </c>
      <c r="K110" s="21" t="inlineStr">
        <is>
          <t>Fortsatt fint, hval ut måneden.</t>
        </is>
      </c>
    </row>
    <row r="111">
      <c r="A111" s="21" t="inlineStr">
        <is>
          <t>PYF</t>
        </is>
      </c>
      <c r="B111" s="5">
        <f>IFERROR(INDEX(Destinasjoner!$E$5:$E$64,MATCH(A111,Destinasjoner!$A$5:$A$64,0)),"")</f>
        <v/>
      </c>
      <c r="C111" s="21" t="n">
        <v>11</v>
      </c>
      <c r="D111" s="5">
        <f>IF(C111="","",CHOOSE(C111,"jan","feb","mar","apr","mai","jun","jul","aug","sep","okt","nov","des"))</f>
        <v/>
      </c>
      <c r="E111" s="21" t="n">
        <v>3</v>
      </c>
      <c r="F111" s="21" t="n">
        <v>3</v>
      </c>
      <c r="G111" s="21" t="n">
        <v>4</v>
      </c>
      <c r="H111" s="18">
        <f>IF(COUNT(E111:G111)&lt;3,"",ROUND(IF(OR(E111=1,F111=1),MIN('Les meg'!$C$25,E111*'Les meg'!$C$21+F111*'Les meg'!$C$22+G111*'Les meg'!$C$23),E111*'Les meg'!$C$21+F111*'Les meg'!$C$22+G111*'Les meg'!$C$23),1))</f>
        <v/>
      </c>
      <c r="I111" s="21" t="n">
        <v>30.6</v>
      </c>
      <c r="J111" s="21" t="n">
        <v>155</v>
      </c>
      <c r="K111" s="21" t="inlineStr">
        <is>
          <t>Regntiden starter.</t>
        </is>
      </c>
    </row>
    <row r="112">
      <c r="A112" s="21" t="inlineStr">
        <is>
          <t>PYF</t>
        </is>
      </c>
      <c r="B112" s="5">
        <f>IFERROR(INDEX(Destinasjoner!$E$5:$E$64,MATCH(A112,Destinasjoner!$A$5:$A$64,0)),"")</f>
        <v/>
      </c>
      <c r="C112" s="21" t="n">
        <v>12</v>
      </c>
      <c r="D112" s="5">
        <f>IF(C112="","",CHOOSE(C112,"jan","feb","mar","apr","mai","jun","jul","aug","sep","okt","nov","des"))</f>
        <v/>
      </c>
      <c r="E112" s="21" t="n">
        <v>2</v>
      </c>
      <c r="F112" s="21" t="n">
        <v>3</v>
      </c>
      <c r="G112" s="21" t="n">
        <v>3</v>
      </c>
      <c r="H112" s="18">
        <f>IF(COUNT(E112:G112)&lt;3,"",ROUND(IF(OR(E112=1,F112=1),MIN('Les meg'!$C$25,E112*'Les meg'!$C$21+F112*'Les meg'!$C$22+G112*'Les meg'!$C$23),E112*'Les meg'!$C$21+F112*'Les meg'!$C$22+G112*'Les meg'!$C$23),1))</f>
        <v/>
      </c>
      <c r="I112" s="21" t="n">
        <v>30.4</v>
      </c>
      <c r="J112" s="21" t="n">
        <v>397</v>
      </c>
      <c r="K112" s="21" t="inlineStr">
        <is>
          <t>Regnfullt (400 mm). Julesesong.</t>
        </is>
      </c>
    </row>
    <row r="113">
      <c r="A113" s="21" t="inlineStr">
        <is>
          <t>YEM-SOC</t>
        </is>
      </c>
      <c r="B113" s="5">
        <f>IFERROR(INDEX(Destinasjoner!$E$5:$E$64,MATCH(A113,Destinasjoner!$A$5:$A$64,0)),"")</f>
        <v/>
      </c>
      <c r="C113" s="21" t="n">
        <v>1</v>
      </c>
      <c r="D113" s="5">
        <f>IF(C113="","",CHOOSE(C113,"jan","feb","mar","apr","mai","jun","jul","aug","sep","okt","nov","des"))</f>
        <v/>
      </c>
      <c r="E113" s="21" t="n">
        <v>5</v>
      </c>
      <c r="F113" s="21" t="n">
        <v>5</v>
      </c>
      <c r="G113" s="21" t="n">
        <v>3</v>
      </c>
      <c r="H113" s="18">
        <f>IF(COUNT(E113:G113)&lt;3,"",ROUND(IF(OR(E113=1,F113=1),MIN('Les meg'!$C$25,E113*'Les meg'!$C$21+F113*'Les meg'!$C$22+G113*'Les meg'!$C$23),E113*'Les meg'!$C$21+F113*'Les meg'!$C$22+G113*'Les meg'!$C$23),1))</f>
        <v/>
      </c>
      <c r="I113" s="21" t="n">
        <v>27.1</v>
      </c>
      <c r="J113" s="21" t="n">
        <v>3</v>
      </c>
      <c r="K113" s="21" t="inlineStr">
        <is>
          <t>Tørt, mildt, rolig hav.</t>
        </is>
      </c>
    </row>
    <row r="114">
      <c r="A114" s="21" t="inlineStr">
        <is>
          <t>YEM-SOC</t>
        </is>
      </c>
      <c r="B114" s="5">
        <f>IFERROR(INDEX(Destinasjoner!$E$5:$E$64,MATCH(A114,Destinasjoner!$A$5:$A$64,0)),"")</f>
        <v/>
      </c>
      <c r="C114" s="21" t="n">
        <v>2</v>
      </c>
      <c r="D114" s="5">
        <f>IF(C114="","",CHOOSE(C114,"jan","feb","mar","apr","mai","jun","jul","aug","sep","okt","nov","des"))</f>
        <v/>
      </c>
      <c r="E114" s="21" t="n">
        <v>5</v>
      </c>
      <c r="F114" s="21" t="n">
        <v>5</v>
      </c>
      <c r="G114" s="21" t="n">
        <v>3</v>
      </c>
      <c r="H114" s="18">
        <f>IF(COUNT(E114:G114)&lt;3,"",ROUND(IF(OR(E114=1,F114=1),MIN('Les meg'!$C$25,E114*'Les meg'!$C$21+F114*'Les meg'!$C$22+G114*'Les meg'!$C$23),E114*'Les meg'!$C$21+F114*'Les meg'!$C$22+G114*'Les meg'!$C$23),1))</f>
        <v/>
      </c>
      <c r="I114" s="21" t="n">
        <v>27.8</v>
      </c>
      <c r="J114" s="21" t="n">
        <v>3</v>
      </c>
      <c r="K114" s="21" t="inlineStr">
        <is>
          <t>Tørt og mildt.</t>
        </is>
      </c>
    </row>
    <row r="115">
      <c r="A115" s="21" t="inlineStr">
        <is>
          <t>YEM-SOC</t>
        </is>
      </c>
      <c r="B115" s="5">
        <f>IFERROR(INDEX(Destinasjoner!$E$5:$E$64,MATCH(A115,Destinasjoner!$A$5:$A$64,0)),"")</f>
        <v/>
      </c>
      <c r="C115" s="21" t="n">
        <v>3</v>
      </c>
      <c r="D115" s="5">
        <f>IF(C115="","",CHOOSE(C115,"jan","feb","mar","apr","mai","jun","jul","aug","sep","okt","nov","des"))</f>
        <v/>
      </c>
      <c r="E115" s="21" t="n">
        <v>5</v>
      </c>
      <c r="F115" s="21" t="n">
        <v>5</v>
      </c>
      <c r="G115" s="21" t="n">
        <v>3</v>
      </c>
      <c r="H115" s="18">
        <f>IF(COUNT(E115:G115)&lt;3,"",ROUND(IF(OR(E115=1,F115=1),MIN('Les meg'!$C$25,E115*'Les meg'!$C$21+F115*'Les meg'!$C$22+G115*'Les meg'!$C$23),E115*'Les meg'!$C$21+F115*'Les meg'!$C$22+G115*'Les meg'!$C$23),1))</f>
        <v/>
      </c>
      <c r="I115" s="21" t="n">
        <v>29.2</v>
      </c>
      <c r="J115" s="21" t="n">
        <v>10</v>
      </c>
      <c r="K115" s="21" t="inlineStr">
        <is>
          <t>Tørt, varmere.</t>
        </is>
      </c>
    </row>
    <row r="116">
      <c r="A116" s="21" t="inlineStr">
        <is>
          <t>YEM-SOC</t>
        </is>
      </c>
      <c r="B116" s="5">
        <f>IFERROR(INDEX(Destinasjoner!$E$5:$E$64,MATCH(A116,Destinasjoner!$A$5:$A$64,0)),"")</f>
        <v/>
      </c>
      <c r="C116" s="21" t="n">
        <v>4</v>
      </c>
      <c r="D116" s="5">
        <f>IF(C116="","",CHOOSE(C116,"jan","feb","mar","apr","mai","jun","jul","aug","sep","okt","nov","des"))</f>
        <v/>
      </c>
      <c r="E116" s="21" t="n">
        <v>4</v>
      </c>
      <c r="F116" s="21" t="n">
        <v>5</v>
      </c>
      <c r="G116" s="21" t="n">
        <v>3</v>
      </c>
      <c r="H116" s="18">
        <f>IF(COUNT(E116:G116)&lt;3,"",ROUND(IF(OR(E116=1,F116=1),MIN('Les meg'!$C$25,E116*'Les meg'!$C$21+F116*'Les meg'!$C$22+G116*'Les meg'!$C$23),E116*'Les meg'!$C$21+F116*'Les meg'!$C$22+G116*'Les meg'!$C$23),1))</f>
        <v/>
      </c>
      <c r="I116" s="21" t="n">
        <v>31.8</v>
      </c>
      <c r="J116" s="21" t="n">
        <v>0</v>
      </c>
      <c r="K116" s="21" t="inlineStr">
        <is>
          <t>Varmere; rolig hav, god snorkling.</t>
        </is>
      </c>
    </row>
    <row r="117">
      <c r="A117" s="21" t="inlineStr">
        <is>
          <t>YEM-SOC</t>
        </is>
      </c>
      <c r="B117" s="5">
        <f>IFERROR(INDEX(Destinasjoner!$E$5:$E$64,MATCH(A117,Destinasjoner!$A$5:$A$64,0)),"")</f>
        <v/>
      </c>
      <c r="C117" s="21" t="n">
        <v>5</v>
      </c>
      <c r="D117" s="5">
        <f>IF(C117="","",CHOOSE(C117,"jan","feb","mar","apr","mai","jun","jul","aug","sep","okt","nov","des"))</f>
        <v/>
      </c>
      <c r="E117" s="21" t="n">
        <v>3</v>
      </c>
      <c r="F117" s="21" t="n">
        <v>3</v>
      </c>
      <c r="G117" s="21" t="n">
        <v>4</v>
      </c>
      <c r="H117" s="18">
        <f>IF(COUNT(E117:G117)&lt;3,"",ROUND(IF(OR(E117=1,F117=1),MIN('Les meg'!$C$25,E117*'Les meg'!$C$21+F117*'Les meg'!$C$22+G117*'Les meg'!$C$23),E117*'Les meg'!$C$21+F117*'Les meg'!$C$22+G117*'Les meg'!$C$23),1))</f>
        <v/>
      </c>
      <c r="I117" s="21" t="n">
        <v>34.6</v>
      </c>
      <c r="J117" s="21" t="n">
        <v>3</v>
      </c>
      <c r="K117" s="21" t="inlineStr">
        <is>
          <t>Varmt (35 °C), sesongslutt.</t>
        </is>
      </c>
    </row>
    <row r="118">
      <c r="A118" s="21" t="inlineStr">
        <is>
          <t>YEM-SOC</t>
        </is>
      </c>
      <c r="B118" s="5">
        <f>IFERROR(INDEX(Destinasjoner!$E$5:$E$64,MATCH(A118,Destinasjoner!$A$5:$A$64,0)),"")</f>
        <v/>
      </c>
      <c r="C118" s="21" t="n">
        <v>6</v>
      </c>
      <c r="D118" s="5">
        <f>IF(C118="","",CHOOSE(C118,"jan","feb","mar","apr","mai","jun","jul","aug","sep","okt","nov","des"))</f>
        <v/>
      </c>
      <c r="E118" s="21" t="n">
        <v>1</v>
      </c>
      <c r="F118" s="21" t="n">
        <v>1</v>
      </c>
      <c r="G118" s="21" t="n">
        <v>5</v>
      </c>
      <c r="H118" s="18">
        <f>IF(COUNT(E118:G118)&lt;3,"",ROUND(IF(OR(E118=1,F118=1),MIN('Les meg'!$C$25,E118*'Les meg'!$C$21+F118*'Les meg'!$C$22+G118*'Les meg'!$C$23),E118*'Les meg'!$C$21+F118*'Les meg'!$C$22+G118*'Les meg'!$C$23),1))</f>
        <v/>
      </c>
      <c r="I118" s="21" t="n">
        <v>33.8</v>
      </c>
      <c r="J118" s="21" t="n">
        <v>31</v>
      </c>
      <c r="K118" s="21" t="inlineStr">
        <is>
          <t>Sørvestmonsun: storm og høye bølger, fly innstilt.</t>
        </is>
      </c>
    </row>
    <row r="119">
      <c r="A119" s="21" t="inlineStr">
        <is>
          <t>YEM-SOC</t>
        </is>
      </c>
      <c r="B119" s="5">
        <f>IFERROR(INDEX(Destinasjoner!$E$5:$E$64,MATCH(A119,Destinasjoner!$A$5:$A$64,0)),"")</f>
        <v/>
      </c>
      <c r="C119" s="21" t="n">
        <v>7</v>
      </c>
      <c r="D119" s="5">
        <f>IF(C119="","",CHOOSE(C119,"jan","feb","mar","apr","mai","jun","jul","aug","sep","okt","nov","des"))</f>
        <v/>
      </c>
      <c r="E119" s="21" t="n">
        <v>1</v>
      </c>
      <c r="F119" s="21" t="n">
        <v>1</v>
      </c>
      <c r="G119" s="21" t="n">
        <v>5</v>
      </c>
      <c r="H119" s="18">
        <f>IF(COUNT(E119:G119)&lt;3,"",ROUND(IF(OR(E119=1,F119=1),MIN('Les meg'!$C$25,E119*'Les meg'!$C$21+F119*'Les meg'!$C$22+G119*'Les meg'!$C$23),E119*'Les meg'!$C$21+F119*'Les meg'!$C$22+G119*'Les meg'!$C$23),1))</f>
        <v/>
      </c>
      <c r="I119" s="21" t="n">
        <v>32.3</v>
      </c>
      <c r="J119" s="21" t="n">
        <v>0</v>
      </c>
      <c r="K119" s="21" t="inlineStr">
        <is>
          <t>Sørvestmonsun, fly innstilt.</t>
        </is>
      </c>
    </row>
    <row r="120">
      <c r="A120" s="21" t="inlineStr">
        <is>
          <t>YEM-SOC</t>
        </is>
      </c>
      <c r="B120" s="5">
        <f>IFERROR(INDEX(Destinasjoner!$E$5:$E$64,MATCH(A120,Destinasjoner!$A$5:$A$64,0)),"")</f>
        <v/>
      </c>
      <c r="C120" s="21" t="n">
        <v>8</v>
      </c>
      <c r="D120" s="5">
        <f>IF(C120="","",CHOOSE(C120,"jan","feb","mar","apr","mai","jun","jul","aug","sep","okt","nov","des"))</f>
        <v/>
      </c>
      <c r="E120" s="21" t="n">
        <v>1</v>
      </c>
      <c r="F120" s="21" t="n">
        <v>1</v>
      </c>
      <c r="G120" s="21" t="n">
        <v>5</v>
      </c>
      <c r="H120" s="18">
        <f>IF(COUNT(E120:G120)&lt;3,"",ROUND(IF(OR(E120=1,F120=1),MIN('Les meg'!$C$25,E120*'Les meg'!$C$21+F120*'Les meg'!$C$22+G120*'Les meg'!$C$23),E120*'Les meg'!$C$21+F120*'Les meg'!$C$22+G120*'Les meg'!$C$23),1))</f>
        <v/>
      </c>
      <c r="I120" s="21" t="n">
        <v>32.4</v>
      </c>
      <c r="J120" s="21" t="n">
        <v>0</v>
      </c>
      <c r="K120" s="21" t="inlineStr">
        <is>
          <t>Sørvestmonsun, fly innstilt.</t>
        </is>
      </c>
    </row>
    <row r="121">
      <c r="A121" s="21" t="inlineStr">
        <is>
          <t>YEM-SOC</t>
        </is>
      </c>
      <c r="B121" s="5">
        <f>IFERROR(INDEX(Destinasjoner!$E$5:$E$64,MATCH(A121,Destinasjoner!$A$5:$A$64,0)),"")</f>
        <v/>
      </c>
      <c r="C121" s="21" t="n">
        <v>9</v>
      </c>
      <c r="D121" s="5">
        <f>IF(C121="","",CHOOSE(C121,"jan","feb","mar","apr","mai","jun","jul","aug","sep","okt","nov","des"))</f>
        <v/>
      </c>
      <c r="E121" s="21" t="n">
        <v>1</v>
      </c>
      <c r="F121" s="21" t="n">
        <v>1</v>
      </c>
      <c r="G121" s="21" t="n">
        <v>5</v>
      </c>
      <c r="H121" s="18">
        <f>IF(COUNT(E121:G121)&lt;3,"",ROUND(IF(OR(E121=1,F121=1),MIN('Les meg'!$C$25,E121*'Les meg'!$C$21+F121*'Les meg'!$C$22+G121*'Les meg'!$C$23),E121*'Les meg'!$C$21+F121*'Les meg'!$C$22+G121*'Les meg'!$C$23),1))</f>
        <v/>
      </c>
      <c r="I121" s="21" t="n">
        <v>33.2</v>
      </c>
      <c r="J121" s="21" t="n">
        <v>3</v>
      </c>
      <c r="K121" s="21" t="inlineStr">
        <is>
          <t>Monsunen avtar mot slutten; fly gjenopptas først i oktober.</t>
        </is>
      </c>
    </row>
    <row r="122">
      <c r="A122" s="21" t="inlineStr">
        <is>
          <t>YEM-SOC</t>
        </is>
      </c>
      <c r="B122" s="5">
        <f>IFERROR(INDEX(Destinasjoner!$E$5:$E$64,MATCH(A122,Destinasjoner!$A$5:$A$64,0)),"")</f>
        <v/>
      </c>
      <c r="C122" s="21" t="n">
        <v>10</v>
      </c>
      <c r="D122" s="5">
        <f>IF(C122="","",CHOOSE(C122,"jan","feb","mar","apr","mai","jun","jul","aug","sep","okt","nov","des"))</f>
        <v/>
      </c>
      <c r="E122" s="21" t="n">
        <v>4</v>
      </c>
      <c r="F122" s="21" t="n">
        <v>4</v>
      </c>
      <c r="G122" s="21" t="n">
        <v>3</v>
      </c>
      <c r="H122" s="18">
        <f>IF(COUNT(E122:G122)&lt;3,"",ROUND(IF(OR(E122=1,F122=1),MIN('Les meg'!$C$25,E122*'Les meg'!$C$21+F122*'Les meg'!$C$22+G122*'Les meg'!$C$23),E122*'Les meg'!$C$21+F122*'Les meg'!$C$22+G122*'Les meg'!$C$23),1))</f>
        <v/>
      </c>
      <c r="I122" s="21" t="n">
        <v>30.8</v>
      </c>
      <c r="J122" s="21" t="n">
        <v>10</v>
      </c>
      <c r="K122" s="21" t="inlineStr">
        <is>
          <t>Sesongstart, vinden avtar.</t>
        </is>
      </c>
    </row>
    <row r="123">
      <c r="A123" s="21" t="inlineStr">
        <is>
          <t>YEM-SOC</t>
        </is>
      </c>
      <c r="B123" s="5">
        <f>IFERROR(INDEX(Destinasjoner!$E$5:$E$64,MATCH(A123,Destinasjoner!$A$5:$A$64,0)),"")</f>
        <v/>
      </c>
      <c r="C123" s="21" t="n">
        <v>11</v>
      </c>
      <c r="D123" s="5">
        <f>IF(C123="","",CHOOSE(C123,"jan","feb","mar","apr","mai","jun","jul","aug","sep","okt","nov","des"))</f>
        <v/>
      </c>
      <c r="E123" s="21" t="n">
        <v>4</v>
      </c>
      <c r="F123" s="21" t="n">
        <v>4</v>
      </c>
      <c r="G123" s="21" t="n">
        <v>3</v>
      </c>
      <c r="H123" s="18">
        <f>IF(COUNT(E123:G123)&lt;3,"",ROUND(IF(OR(E123=1,F123=1),MIN('Les meg'!$C$25,E123*'Les meg'!$C$21+F123*'Les meg'!$C$22+G123*'Les meg'!$C$23),E123*'Les meg'!$C$21+F123*'Les meg'!$C$22+G123*'Les meg'!$C$23),1))</f>
        <v/>
      </c>
      <c r="I123" s="21" t="n">
        <v>29.6</v>
      </c>
      <c r="J123" s="21" t="n">
        <v>51</v>
      </c>
      <c r="K123" s="21" t="inlineStr">
        <is>
          <t>Nordøstmonsun gir regn i fjellene; grønt.</t>
        </is>
      </c>
    </row>
    <row r="124">
      <c r="A124" s="21" t="inlineStr">
        <is>
          <t>YEM-SOC</t>
        </is>
      </c>
      <c r="B124" s="5">
        <f>IFERROR(INDEX(Destinasjoner!$E$5:$E$64,MATCH(A124,Destinasjoner!$A$5:$A$64,0)),"")</f>
        <v/>
      </c>
      <c r="C124" s="21" t="n">
        <v>12</v>
      </c>
      <c r="D124" s="5">
        <f>IF(C124="","",CHOOSE(C124,"jan","feb","mar","apr","mai","jun","jul","aug","sep","okt","nov","des"))</f>
        <v/>
      </c>
      <c r="E124" s="21" t="n">
        <v>4</v>
      </c>
      <c r="F124" s="21" t="n">
        <v>4</v>
      </c>
      <c r="G124" s="21" t="n">
        <v>3</v>
      </c>
      <c r="H124" s="18">
        <f>IF(COUNT(E124:G124)&lt;3,"",ROUND(IF(OR(E124=1,F124=1),MIN('Les meg'!$C$25,E124*'Les meg'!$C$21+F124*'Les meg'!$C$22+G124*'Les meg'!$C$23),E124*'Les meg'!$C$21+F124*'Les meg'!$C$22+G124*'Les meg'!$C$23),1))</f>
        <v/>
      </c>
      <c r="I124" s="21" t="n">
        <v>28.3</v>
      </c>
      <c r="J124" s="21" t="n">
        <v>81</v>
      </c>
      <c r="K124" s="21" t="inlineStr">
        <is>
          <t>Noe regn, grønt.</t>
        </is>
      </c>
    </row>
    <row r="125">
      <c r="A125" s="21" t="inlineStr">
        <is>
          <t>VNM</t>
        </is>
      </c>
      <c r="B125" s="5">
        <f>IFERROR(INDEX(Destinasjoner!$E$5:$E$64,MATCH(A125,Destinasjoner!$A$5:$A$64,0)),"")</f>
        <v/>
      </c>
      <c r="C125" s="21" t="n">
        <v>1</v>
      </c>
      <c r="D125" s="5">
        <f>IF(C125="","",CHOOSE(C125,"jan","feb","mar","apr","mai","jun","jul","aug","sep","okt","nov","des"))</f>
        <v/>
      </c>
      <c r="E125" s="21" t="n">
        <v>3</v>
      </c>
      <c r="F125" s="21" t="n">
        <v>4</v>
      </c>
      <c r="G125" s="21" t="n">
        <v>4</v>
      </c>
      <c r="H125" s="18">
        <f>IF(COUNT(E125:G125)&lt;3,"",ROUND(IF(OR(E125=1,F125=1),MIN('Les meg'!$C$25,E125*'Les meg'!$C$21+F125*'Les meg'!$C$22+G125*'Les meg'!$C$23),E125*'Les meg'!$C$21+F125*'Les meg'!$C$22+G125*'Les meg'!$C$23),1))</f>
        <v/>
      </c>
      <c r="I125" s="21" t="n">
        <v>23.5</v>
      </c>
      <c r="J125" s="21" t="n">
        <v>129</v>
      </c>
      <c r="K125" s="21" t="inlineStr">
        <is>
          <t>Hue kjølig og regnfull, Hanoi grått (20 °C). Sør tørt.</t>
        </is>
      </c>
    </row>
    <row r="126">
      <c r="A126" s="21" t="inlineStr">
        <is>
          <t>VNM</t>
        </is>
      </c>
      <c r="B126" s="5">
        <f>IFERROR(INDEX(Destinasjoner!$E$5:$E$64,MATCH(A126,Destinasjoner!$A$5:$A$64,0)),"")</f>
        <v/>
      </c>
      <c r="C126" s="21" t="n">
        <v>2</v>
      </c>
      <c r="D126" s="5">
        <f>IF(C126="","",CHOOSE(C126,"jan","feb","mar","apr","mai","jun","jul","aug","sep","okt","nov","des"))</f>
        <v/>
      </c>
      <c r="E126" s="21" t="n">
        <v>4</v>
      </c>
      <c r="F126" s="21" t="n">
        <v>4</v>
      </c>
      <c r="G126" s="21" t="n">
        <v>4</v>
      </c>
      <c r="H126" s="18">
        <f>IF(COUNT(E126:G126)&lt;3,"",ROUND(IF(OR(E126=1,F126=1),MIN('Les meg'!$C$25,E126*'Les meg'!$C$21+F126*'Les meg'!$C$22+G126*'Les meg'!$C$23),E126*'Les meg'!$C$21+F126*'Les meg'!$C$22+G126*'Les meg'!$C$23),1))</f>
        <v/>
      </c>
      <c r="I126" s="21" t="n">
        <v>24.5</v>
      </c>
      <c r="J126" s="21" t="n">
        <v>63</v>
      </c>
      <c r="K126" s="21" t="inlineStr">
        <is>
          <t>Bedring i sentrum. Tet i jan/feb – se Vinduer.</t>
        </is>
      </c>
    </row>
    <row r="127">
      <c r="A127" s="21" t="inlineStr">
        <is>
          <t>VNM</t>
        </is>
      </c>
      <c r="B127" s="5">
        <f>IFERROR(INDEX(Destinasjoner!$E$5:$E$64,MATCH(A127,Destinasjoner!$A$5:$A$64,0)),"")</f>
        <v/>
      </c>
      <c r="C127" s="21" t="n">
        <v>3</v>
      </c>
      <c r="D127" s="5">
        <f>IF(C127="","",CHOOSE(C127,"jan","feb","mar","apr","mai","jun","jul","aug","sep","okt","nov","des"))</f>
        <v/>
      </c>
      <c r="E127" s="21" t="n">
        <v>5</v>
      </c>
      <c r="F127" s="21" t="n">
        <v>4</v>
      </c>
      <c r="G127" s="21" t="n">
        <v>4</v>
      </c>
      <c r="H127" s="18">
        <f>IF(COUNT(E127:G127)&lt;3,"",ROUND(IF(OR(E127=1,F127=1),MIN('Les meg'!$C$25,E127*'Les meg'!$C$21+F127*'Les meg'!$C$22+G127*'Les meg'!$C$23),E127*'Les meg'!$C$21+F127*'Les meg'!$C$22+G127*'Les meg'!$C$23),1))</f>
        <v/>
      </c>
      <c r="I127" s="21" t="n">
        <v>27.5</v>
      </c>
      <c r="J127" s="21" t="n">
        <v>51</v>
      </c>
      <c r="K127" s="21" t="inlineStr">
        <is>
          <t>Beste balanse langs ruten: Hue tørt, Hanoi mildt.</t>
        </is>
      </c>
    </row>
    <row r="128">
      <c r="A128" s="21" t="inlineStr">
        <is>
          <t>VNM</t>
        </is>
      </c>
      <c r="B128" s="5">
        <f>IFERROR(INDEX(Destinasjoner!$E$5:$E$64,MATCH(A128,Destinasjoner!$A$5:$A$64,0)),"")</f>
        <v/>
      </c>
      <c r="C128" s="21" t="n">
        <v>4</v>
      </c>
      <c r="D128" s="5">
        <f>IF(C128="","",CHOOSE(C128,"jan","feb","mar","apr","mai","jun","jul","aug","sep","okt","nov","des"))</f>
        <v/>
      </c>
      <c r="E128" s="21" t="n">
        <v>5</v>
      </c>
      <c r="F128" s="21" t="n">
        <v>4</v>
      </c>
      <c r="G128" s="21" t="n">
        <v>4</v>
      </c>
      <c r="H128" s="18">
        <f>IF(COUNT(E128:G128)&lt;3,"",ROUND(IF(OR(E128=1,F128=1),MIN('Les meg'!$C$25,E128*'Les meg'!$C$21+F128*'Les meg'!$C$22+G128*'Les meg'!$C$23),E128*'Les meg'!$C$21+F128*'Les meg'!$C$22+G128*'Les meg'!$C$23),1))</f>
        <v/>
      </c>
      <c r="I128" s="21" t="n">
        <v>31.1</v>
      </c>
      <c r="J128" s="21" t="n">
        <v>59</v>
      </c>
      <c r="K128" s="21" t="inlineStr">
        <is>
          <t>Varmt og tørt i sentrum, Hanoi behagelig (29 °C).</t>
        </is>
      </c>
    </row>
    <row r="129">
      <c r="A129" s="21" t="inlineStr">
        <is>
          <t>VNM</t>
        </is>
      </c>
      <c r="B129" s="5">
        <f>IFERROR(INDEX(Destinasjoner!$E$5:$E$64,MATCH(A129,Destinasjoner!$A$5:$A$64,0)),"")</f>
        <v/>
      </c>
      <c r="C129" s="21" t="n">
        <v>5</v>
      </c>
      <c r="D129" s="5">
        <f>IF(C129="","",CHOOSE(C129,"jan","feb","mar","apr","mai","jun","jul","aug","sep","okt","nov","des"))</f>
        <v/>
      </c>
      <c r="E129" s="21" t="n">
        <v>4</v>
      </c>
      <c r="F129" s="21" t="n">
        <v>4</v>
      </c>
      <c r="G129" s="21" t="n">
        <v>4</v>
      </c>
      <c r="H129" s="18">
        <f>IF(COUNT(E129:G129)&lt;3,"",ROUND(IF(OR(E129=1,F129=1),MIN('Les meg'!$C$25,E129*'Les meg'!$C$21+F129*'Les meg'!$C$22+G129*'Les meg'!$C$23),E129*'Les meg'!$C$21+F129*'Les meg'!$C$22+G129*'Les meg'!$C$23),1))</f>
        <v/>
      </c>
      <c r="I129" s="21" t="n">
        <v>33.5</v>
      </c>
      <c r="J129" s="21" t="n">
        <v>111</v>
      </c>
      <c r="K129" s="21" t="inlineStr">
        <is>
          <t>Varmt. Sør går inn i regntid.</t>
        </is>
      </c>
    </row>
    <row r="130">
      <c r="A130" s="21" t="inlineStr">
        <is>
          <t>VNM</t>
        </is>
      </c>
      <c r="B130" s="5">
        <f>IFERROR(INDEX(Destinasjoner!$E$5:$E$64,MATCH(A130,Destinasjoner!$A$5:$A$64,0)),"")</f>
        <v/>
      </c>
      <c r="C130" s="21" t="n">
        <v>6</v>
      </c>
      <c r="D130" s="5">
        <f>IF(C130="","",CHOOSE(C130,"jan","feb","mar","apr","mai","jun","jul","aug","sep","okt","nov","des"))</f>
        <v/>
      </c>
      <c r="E130" s="21" t="n">
        <v>3</v>
      </c>
      <c r="F130" s="21" t="n">
        <v>4</v>
      </c>
      <c r="G130" s="21" t="n">
        <v>3</v>
      </c>
      <c r="H130" s="18">
        <f>IF(COUNT(E130:G130)&lt;3,"",ROUND(IF(OR(E130=1,F130=1),MIN('Les meg'!$C$25,E130*'Les meg'!$C$21+F130*'Les meg'!$C$22+G130*'Les meg'!$C$23),E130*'Les meg'!$C$21+F130*'Les meg'!$C$22+G130*'Les meg'!$C$23),1))</f>
        <v/>
      </c>
      <c r="I130" s="21" t="n">
        <v>34.7</v>
      </c>
      <c r="J130" s="21" t="n">
        <v>103</v>
      </c>
      <c r="K130" s="21" t="inlineStr">
        <is>
          <t>Svært varmt (Hue og Hanoi 35 °C). Innenlands ferie.</t>
        </is>
      </c>
    </row>
    <row r="131">
      <c r="A131" s="21" t="inlineStr">
        <is>
          <t>VNM</t>
        </is>
      </c>
      <c r="B131" s="5">
        <f>IFERROR(INDEX(Destinasjoner!$E$5:$E$64,MATCH(A131,Destinasjoner!$A$5:$A$64,0)),"")</f>
        <v/>
      </c>
      <c r="C131" s="21" t="n">
        <v>7</v>
      </c>
      <c r="D131" s="5">
        <f>IF(C131="","",CHOOSE(C131,"jan","feb","mar","apr","mai","jun","jul","aug","sep","okt","nov","des"))</f>
        <v/>
      </c>
      <c r="E131" s="21" t="n">
        <v>3</v>
      </c>
      <c r="F131" s="21" t="n">
        <v>4</v>
      </c>
      <c r="G131" s="21" t="n">
        <v>3</v>
      </c>
      <c r="H131" s="18">
        <f>IF(COUNT(E131:G131)&lt;3,"",ROUND(IF(OR(E131=1,F131=1),MIN('Les meg'!$C$25,E131*'Les meg'!$C$21+F131*'Les meg'!$C$22+G131*'Les meg'!$C$23),E131*'Les meg'!$C$21+F131*'Les meg'!$C$22+G131*'Les meg'!$C$23),1))</f>
        <v/>
      </c>
      <c r="I131" s="21" t="n">
        <v>34.7</v>
      </c>
      <c r="J131" s="21" t="n">
        <v>95</v>
      </c>
      <c r="K131" s="21" t="inlineStr">
        <is>
          <t>Som juni.</t>
        </is>
      </c>
    </row>
    <row r="132">
      <c r="A132" s="21" t="inlineStr">
        <is>
          <t>VNM</t>
        </is>
      </c>
      <c r="B132" s="5">
        <f>IFERROR(INDEX(Destinasjoner!$E$5:$E$64,MATCH(A132,Destinasjoner!$A$5:$A$64,0)),"")</f>
        <v/>
      </c>
      <c r="C132" s="21" t="n">
        <v>8</v>
      </c>
      <c r="D132" s="5">
        <f>IF(C132="","",CHOOSE(C132,"jan","feb","mar","apr","mai","jun","jul","aug","sep","okt","nov","des"))</f>
        <v/>
      </c>
      <c r="E132" s="21" t="n">
        <v>3</v>
      </c>
      <c r="F132" s="21" t="n">
        <v>4</v>
      </c>
      <c r="G132" s="21" t="n">
        <v>3</v>
      </c>
      <c r="H132" s="18">
        <f>IF(COUNT(E132:G132)&lt;3,"",ROUND(IF(OR(E132=1,F132=1),MIN('Les meg'!$C$25,E132*'Les meg'!$C$21+F132*'Les meg'!$C$22+G132*'Les meg'!$C$23),E132*'Les meg'!$C$21+F132*'Les meg'!$C$22+G132*'Les meg'!$C$23),1))</f>
        <v/>
      </c>
      <c r="I132" s="21" t="n">
        <v>34.2</v>
      </c>
      <c r="J132" s="21" t="n">
        <v>139</v>
      </c>
      <c r="K132" s="21" t="inlineStr">
        <is>
          <t>Varmt. Regn og tyfonrisiko i nord (Hanoi 274 mm).</t>
        </is>
      </c>
    </row>
    <row r="133">
      <c r="A133" s="21" t="inlineStr">
        <is>
          <t>VNM</t>
        </is>
      </c>
      <c r="B133" s="5">
        <f>IFERROR(INDEX(Destinasjoner!$E$5:$E$64,MATCH(A133,Destinasjoner!$A$5:$A$64,0)),"")</f>
        <v/>
      </c>
      <c r="C133" s="21" t="n">
        <v>9</v>
      </c>
      <c r="D133" s="5">
        <f>IF(C133="","",CHOOSE(C133,"jan","feb","mar","apr","mai","jun","jul","aug","sep","okt","nov","des"))</f>
        <v/>
      </c>
      <c r="E133" s="21" t="n">
        <v>2</v>
      </c>
      <c r="F133" s="21" t="n">
        <v>3</v>
      </c>
      <c r="G133" s="21" t="n">
        <v>4</v>
      </c>
      <c r="H133" s="18">
        <f>IF(COUNT(E133:G133)&lt;3,"",ROUND(IF(OR(E133=1,F133=1),MIN('Les meg'!$C$25,E133*'Les meg'!$C$21+F133*'Les meg'!$C$22+G133*'Les meg'!$C$23),E133*'Les meg'!$C$21+F133*'Les meg'!$C$22+G133*'Les meg'!$C$23),1))</f>
        <v/>
      </c>
      <c r="I133" s="21" t="n">
        <v>31.7</v>
      </c>
      <c r="J133" s="21" t="n">
        <v>411</v>
      </c>
      <c r="K133" s="21" t="inlineStr">
        <is>
          <t>Regntid i sentrum starter, tyfonrisiko.</t>
        </is>
      </c>
    </row>
    <row r="134">
      <c r="A134" s="21" t="inlineStr">
        <is>
          <t>VNM</t>
        </is>
      </c>
      <c r="B134" s="5">
        <f>IFERROR(INDEX(Destinasjoner!$E$5:$E$64,MATCH(A134,Destinasjoner!$A$5:$A$64,0)),"")</f>
        <v/>
      </c>
      <c r="C134" s="21" t="n">
        <v>10</v>
      </c>
      <c r="D134" s="5">
        <f>IF(C134="","",CHOOSE(C134,"jan","feb","mar","apr","mai","jun","jul","aug","sep","okt","nov","des"))</f>
        <v/>
      </c>
      <c r="E134" s="21" t="n">
        <v>1</v>
      </c>
      <c r="F134" s="21" t="n">
        <v>2</v>
      </c>
      <c r="G134" s="21" t="n">
        <v>5</v>
      </c>
      <c r="H134" s="18">
        <f>IF(COUNT(E134:G134)&lt;3,"",ROUND(IF(OR(E134=1,F134=1),MIN('Les meg'!$C$25,E134*'Les meg'!$C$21+F134*'Les meg'!$C$22+G134*'Les meg'!$C$23),E134*'Les meg'!$C$21+F134*'Les meg'!$C$22+G134*'Les meg'!$C$23),1))</f>
        <v/>
      </c>
      <c r="I134" s="21" t="n">
        <v>29</v>
      </c>
      <c r="J134" s="21" t="n">
        <v>773</v>
      </c>
      <c r="K134" s="21" t="inlineStr">
        <is>
          <t>Topp regn og flom i Hue/Hoi An.</t>
        </is>
      </c>
    </row>
    <row r="135">
      <c r="A135" s="21" t="inlineStr">
        <is>
          <t>VNM</t>
        </is>
      </c>
      <c r="B135" s="5">
        <f>IFERROR(INDEX(Destinasjoner!$E$5:$E$64,MATCH(A135,Destinasjoner!$A$5:$A$64,0)),"")</f>
        <v/>
      </c>
      <c r="C135" s="21" t="n">
        <v>11</v>
      </c>
      <c r="D135" s="5">
        <f>IF(C135="","",CHOOSE(C135,"jan","feb","mar","apr","mai","jun","jul","aug","sep","okt","nov","des"))</f>
        <v/>
      </c>
      <c r="E135" s="21" t="n">
        <v>1</v>
      </c>
      <c r="F135" s="21" t="n">
        <v>2</v>
      </c>
      <c r="G135" s="21" t="n">
        <v>5</v>
      </c>
      <c r="H135" s="18">
        <f>IF(COUNT(E135:G135)&lt;3,"",ROUND(IF(OR(E135=1,F135=1),MIN('Les meg'!$C$25,E135*'Les meg'!$C$21+F135*'Les meg'!$C$22+G135*'Les meg'!$C$23),E135*'Les meg'!$C$21+F135*'Les meg'!$C$22+G135*'Les meg'!$C$23),1))</f>
        <v/>
      </c>
      <c r="I135" s="21" t="n">
        <v>26.5</v>
      </c>
      <c r="J135" s="21" t="n">
        <v>642</v>
      </c>
      <c r="K135" s="21" t="inlineStr">
        <is>
          <t>Fortsatt flomrisiko i sentrum.</t>
        </is>
      </c>
    </row>
    <row r="136">
      <c r="A136" s="21" t="inlineStr">
        <is>
          <t>VNM</t>
        </is>
      </c>
      <c r="B136" s="5">
        <f>IFERROR(INDEX(Destinasjoner!$E$5:$E$64,MATCH(A136,Destinasjoner!$A$5:$A$64,0)),"")</f>
        <v/>
      </c>
      <c r="C136" s="21" t="n">
        <v>12</v>
      </c>
      <c r="D136" s="5">
        <f>IF(C136="","",CHOOSE(C136,"jan","feb","mar","apr","mai","jun","jul","aug","sep","okt","nov","des"))</f>
        <v/>
      </c>
      <c r="E136" s="21" t="n">
        <v>2</v>
      </c>
      <c r="F136" s="21" t="n">
        <v>3</v>
      </c>
      <c r="G136" s="21" t="n">
        <v>4</v>
      </c>
      <c r="H136" s="18">
        <f>IF(COUNT(E136:G136)&lt;3,"",ROUND(IF(OR(E136=1,F136=1),MIN('Les meg'!$C$25,E136*'Les meg'!$C$21+F136*'Les meg'!$C$22+G136*'Les meg'!$C$23),E136*'Les meg'!$C$21+F136*'Les meg'!$C$22+G136*'Les meg'!$C$23),1))</f>
        <v/>
      </c>
      <c r="I136" s="21" t="n">
        <v>23.8</v>
      </c>
      <c r="J136" s="21" t="n">
        <v>350</v>
      </c>
      <c r="K136" s="21" t="inlineStr">
        <is>
          <t>Regnfullt i sentrum, nord kjølig, sør tørt.</t>
        </is>
      </c>
    </row>
    <row r="137">
      <c r="A137" s="21" t="inlineStr">
        <is>
          <t>SILK</t>
        </is>
      </c>
      <c r="B137" s="5">
        <f>IFERROR(INDEX(Destinasjoner!$E$5:$E$64,MATCH(A137,Destinasjoner!$A$5:$A$64,0)),"")</f>
        <v/>
      </c>
      <c r="C137" s="21" t="n">
        <v>1</v>
      </c>
      <c r="D137" s="5">
        <f>IF(C137="","",CHOOSE(C137,"jan","feb","mar","apr","mai","jun","jul","aug","sep","okt","nov","des"))</f>
        <v/>
      </c>
      <c r="E137" s="21" t="n">
        <v>2</v>
      </c>
      <c r="F137" s="21" t="n">
        <v>2</v>
      </c>
      <c r="G137" s="21" t="n">
        <v>5</v>
      </c>
      <c r="H137" s="18">
        <f>IF(COUNT(E137:G137)&lt;3,"",ROUND(IF(OR(E137=1,F137=1),MIN('Les meg'!$C$25,E137*'Les meg'!$C$21+F137*'Les meg'!$C$22+G137*'Les meg'!$C$23),E137*'Les meg'!$C$21+F137*'Les meg'!$C$22+G137*'Les meg'!$C$23),1))</f>
        <v/>
      </c>
      <c r="I137" s="21" t="n">
        <v>7.3</v>
      </c>
      <c r="J137" s="21" t="n">
        <v>41</v>
      </c>
      <c r="K137" s="21" t="inlineStr">
        <is>
          <t>Kaldt, grått, noe snø.</t>
        </is>
      </c>
    </row>
    <row r="138">
      <c r="A138" s="21" t="inlineStr">
        <is>
          <t>SILK</t>
        </is>
      </c>
      <c r="B138" s="5">
        <f>IFERROR(INDEX(Destinasjoner!$E$5:$E$64,MATCH(A138,Destinasjoner!$A$5:$A$64,0)),"")</f>
        <v/>
      </c>
      <c r="C138" s="21" t="n">
        <v>2</v>
      </c>
      <c r="D138" s="5">
        <f>IF(C138="","",CHOOSE(C138,"jan","feb","mar","apr","mai","jun","jul","aug","sep","okt","nov","des"))</f>
        <v/>
      </c>
      <c r="E138" s="21" t="n">
        <v>2</v>
      </c>
      <c r="F138" s="21" t="n">
        <v>2</v>
      </c>
      <c r="G138" s="21" t="n">
        <v>5</v>
      </c>
      <c r="H138" s="18">
        <f>IF(COUNT(E138:G138)&lt;3,"",ROUND(IF(OR(E138=1,F138=1),MIN('Les meg'!$C$25,E138*'Les meg'!$C$21+F138*'Les meg'!$C$22+G138*'Les meg'!$C$23),E138*'Les meg'!$C$21+F138*'Les meg'!$C$22+G138*'Les meg'!$C$23),1))</f>
        <v/>
      </c>
      <c r="I138" s="21" t="n">
        <v>9.5</v>
      </c>
      <c r="J138" s="21" t="n">
        <v>52</v>
      </c>
      <c r="K138" s="21" t="inlineStr">
        <is>
          <t>Kaldt.</t>
        </is>
      </c>
    </row>
    <row r="139">
      <c r="A139" s="21" t="inlineStr">
        <is>
          <t>SILK</t>
        </is>
      </c>
      <c r="B139" s="5">
        <f>IFERROR(INDEX(Destinasjoner!$E$5:$E$64,MATCH(A139,Destinasjoner!$A$5:$A$64,0)),"")</f>
        <v/>
      </c>
      <c r="C139" s="21" t="n">
        <v>3</v>
      </c>
      <c r="D139" s="5">
        <f>IF(C139="","",CHOOSE(C139,"jan","feb","mar","apr","mai","jun","jul","aug","sep","okt","nov","des"))</f>
        <v/>
      </c>
      <c r="E139" s="21" t="n">
        <v>3</v>
      </c>
      <c r="F139" s="21" t="n">
        <v>4</v>
      </c>
      <c r="G139" s="21" t="n">
        <v>4</v>
      </c>
      <c r="H139" s="18">
        <f>IF(COUNT(E139:G139)&lt;3,"",ROUND(IF(OR(E139=1,F139=1),MIN('Les meg'!$C$25,E139*'Les meg'!$C$21+F139*'Les meg'!$C$22+G139*'Les meg'!$C$23),E139*'Les meg'!$C$21+F139*'Les meg'!$C$22+G139*'Les meg'!$C$23),1))</f>
        <v/>
      </c>
      <c r="I139" s="21" t="n">
        <v>15.2</v>
      </c>
      <c r="J139" s="21" t="n">
        <v>73</v>
      </c>
      <c r="K139" s="21" t="inlineStr">
        <is>
          <t>Mildere, noe regn. Navruz 21.3 (se Vinduer).</t>
        </is>
      </c>
    </row>
    <row r="140">
      <c r="A140" s="21" t="inlineStr">
        <is>
          <t>SILK</t>
        </is>
      </c>
      <c r="B140" s="5">
        <f>IFERROR(INDEX(Destinasjoner!$E$5:$E$64,MATCH(A140,Destinasjoner!$A$5:$A$64,0)),"")</f>
        <v/>
      </c>
      <c r="C140" s="21" t="n">
        <v>4</v>
      </c>
      <c r="D140" s="5">
        <f>IF(C140="","",CHOOSE(C140,"jan","feb","mar","apr","mai","jun","jul","aug","sep","okt","nov","des"))</f>
        <v/>
      </c>
      <c r="E140" s="21" t="n">
        <v>5</v>
      </c>
      <c r="F140" s="21" t="n">
        <v>5</v>
      </c>
      <c r="G140" s="21" t="n">
        <v>3</v>
      </c>
      <c r="H140" s="18">
        <f>IF(COUNT(E140:G140)&lt;3,"",ROUND(IF(OR(E140=1,F140=1),MIN('Les meg'!$C$25,E140*'Les meg'!$C$21+F140*'Les meg'!$C$22+G140*'Les meg'!$C$23),E140*'Les meg'!$C$21+F140*'Les meg'!$C$22+G140*'Les meg'!$C$23),1))</f>
        <v/>
      </c>
      <c r="I140" s="21" t="n">
        <v>21.4</v>
      </c>
      <c r="J140" s="21" t="n">
        <v>63</v>
      </c>
      <c r="K140" s="21" t="inlineStr">
        <is>
          <t>Vår, grønt, behagelig.</t>
        </is>
      </c>
    </row>
    <row r="141">
      <c r="A141" s="21" t="inlineStr">
        <is>
          <t>SILK</t>
        </is>
      </c>
      <c r="B141" s="5">
        <f>IFERROR(INDEX(Destinasjoner!$E$5:$E$64,MATCH(A141,Destinasjoner!$A$5:$A$64,0)),"")</f>
        <v/>
      </c>
      <c r="C141" s="21" t="n">
        <v>5</v>
      </c>
      <c r="D141" s="5">
        <f>IF(C141="","",CHOOSE(C141,"jan","feb","mar","apr","mai","jun","jul","aug","sep","okt","nov","des"))</f>
        <v/>
      </c>
      <c r="E141" s="21" t="n">
        <v>5</v>
      </c>
      <c r="F141" s="21" t="n">
        <v>5</v>
      </c>
      <c r="G141" s="21" t="n">
        <v>2</v>
      </c>
      <c r="H141" s="18">
        <f>IF(COUNT(E141:G141)&lt;3,"",ROUND(IF(OR(E141=1,F141=1),MIN('Les meg'!$C$25,E141*'Les meg'!$C$21+F141*'Les meg'!$C$22+G141*'Les meg'!$C$23),E141*'Les meg'!$C$21+F141*'Les meg'!$C$22+G141*'Les meg'!$C$23),1))</f>
        <v/>
      </c>
      <c r="I141" s="21" t="n">
        <v>27</v>
      </c>
      <c r="J141" s="21" t="n">
        <v>40</v>
      </c>
      <c r="K141" s="21" t="inlineStr">
        <is>
          <t>Ideelt og varmt. Toppsesong.</t>
        </is>
      </c>
    </row>
    <row r="142">
      <c r="A142" s="21" t="inlineStr">
        <is>
          <t>SILK</t>
        </is>
      </c>
      <c r="B142" s="5">
        <f>IFERROR(INDEX(Destinasjoner!$E$5:$E$64,MATCH(A142,Destinasjoner!$A$5:$A$64,0)),"")</f>
        <v/>
      </c>
      <c r="C142" s="21" t="n">
        <v>6</v>
      </c>
      <c r="D142" s="5">
        <f>IF(C142="","",CHOOSE(C142,"jan","feb","mar","apr","mai","jun","jul","aug","sep","okt","nov","des"))</f>
        <v/>
      </c>
      <c r="E142" s="21" t="n">
        <v>3</v>
      </c>
      <c r="F142" s="21" t="n">
        <v>4</v>
      </c>
      <c r="G142" s="21" t="n">
        <v>3</v>
      </c>
      <c r="H142" s="18">
        <f>IF(COUNT(E142:G142)&lt;3,"",ROUND(IF(OR(E142=1,F142=1),MIN('Les meg'!$C$25,E142*'Les meg'!$C$21+F142*'Les meg'!$C$22+G142*'Les meg'!$C$23),E142*'Les meg'!$C$21+F142*'Les meg'!$C$22+G142*'Les meg'!$C$23),1))</f>
        <v/>
      </c>
      <c r="I142" s="21" t="n">
        <v>32.4</v>
      </c>
      <c r="J142" s="21" t="n">
        <v>7</v>
      </c>
      <c r="K142" s="21" t="inlineStr">
        <is>
          <t>Varmt (32 °C; ørkenbyene hetere).</t>
        </is>
      </c>
    </row>
    <row r="143">
      <c r="A143" s="21" t="inlineStr">
        <is>
          <t>SILK</t>
        </is>
      </c>
      <c r="B143" s="5">
        <f>IFERROR(INDEX(Destinasjoner!$E$5:$E$64,MATCH(A143,Destinasjoner!$A$5:$A$64,0)),"")</f>
        <v/>
      </c>
      <c r="C143" s="21" t="n">
        <v>7</v>
      </c>
      <c r="D143" s="5">
        <f>IF(C143="","",CHOOSE(C143,"jan","feb","mar","apr","mai","jun","jul","aug","sep","okt","nov","des"))</f>
        <v/>
      </c>
      <c r="E143" s="21" t="n">
        <v>2</v>
      </c>
      <c r="F143" s="21" t="n">
        <v>3</v>
      </c>
      <c r="G143" s="21" t="n">
        <v>4</v>
      </c>
      <c r="H143" s="18">
        <f>IF(COUNT(E143:G143)&lt;3,"",ROUND(IF(OR(E143=1,F143=1),MIN('Les meg'!$C$25,E143*'Les meg'!$C$21+F143*'Les meg'!$C$22+G143*'Les meg'!$C$23),E143*'Les meg'!$C$21+F143*'Les meg'!$C$22+G143*'Les meg'!$C$23),1))</f>
        <v/>
      </c>
      <c r="I143" s="21" t="n">
        <v>34.5</v>
      </c>
      <c r="J143" s="21" t="n">
        <v>2</v>
      </c>
      <c r="K143" s="21" t="inlineStr">
        <is>
          <t>Hett (35 °C; Bukhara/Khiva opp mot 40 °C).</t>
        </is>
      </c>
    </row>
    <row r="144">
      <c r="A144" s="21" t="inlineStr">
        <is>
          <t>SILK</t>
        </is>
      </c>
      <c r="B144" s="5">
        <f>IFERROR(INDEX(Destinasjoner!$E$5:$E$64,MATCH(A144,Destinasjoner!$A$5:$A$64,0)),"")</f>
        <v/>
      </c>
      <c r="C144" s="21" t="n">
        <v>8</v>
      </c>
      <c r="D144" s="5">
        <f>IF(C144="","",CHOOSE(C144,"jan","feb","mar","apr","mai","jun","jul","aug","sep","okt","nov","des"))</f>
        <v/>
      </c>
      <c r="E144" s="21" t="n">
        <v>2</v>
      </c>
      <c r="F144" s="21" t="n">
        <v>3</v>
      </c>
      <c r="G144" s="21" t="n">
        <v>4</v>
      </c>
      <c r="H144" s="18">
        <f>IF(COUNT(E144:G144)&lt;3,"",ROUND(IF(OR(E144=1,F144=1),MIN('Les meg'!$C$25,E144*'Les meg'!$C$21+F144*'Les meg'!$C$22+G144*'Les meg'!$C$23),E144*'Les meg'!$C$21+F144*'Les meg'!$C$22+G144*'Les meg'!$C$23),1))</f>
        <v/>
      </c>
      <c r="I144" s="21" t="n">
        <v>33.3</v>
      </c>
      <c r="J144" s="21" t="n">
        <v>2</v>
      </c>
      <c r="K144" s="21" t="inlineStr">
        <is>
          <t>Hett.</t>
        </is>
      </c>
    </row>
    <row r="145">
      <c r="A145" s="21" t="inlineStr">
        <is>
          <t>SILK</t>
        </is>
      </c>
      <c r="B145" s="5">
        <f>IFERROR(INDEX(Destinasjoner!$E$5:$E$64,MATCH(A145,Destinasjoner!$A$5:$A$64,0)),"")</f>
        <v/>
      </c>
      <c r="C145" s="21" t="n">
        <v>9</v>
      </c>
      <c r="D145" s="5">
        <f>IF(C145="","",CHOOSE(C145,"jan","feb","mar","apr","mai","jun","jul","aug","sep","okt","nov","des"))</f>
        <v/>
      </c>
      <c r="E145" s="21" t="n">
        <v>5</v>
      </c>
      <c r="F145" s="21" t="n">
        <v>5</v>
      </c>
      <c r="G145" s="21" t="n">
        <v>2</v>
      </c>
      <c r="H145" s="18">
        <f>IF(COUNT(E145:G145)&lt;3,"",ROUND(IF(OR(E145=1,F145=1),MIN('Les meg'!$C$25,E145*'Les meg'!$C$21+F145*'Les meg'!$C$22+G145*'Les meg'!$C$23),E145*'Les meg'!$C$21+F145*'Les meg'!$C$22+G145*'Les meg'!$C$23),1))</f>
        <v/>
      </c>
      <c r="I145" s="21" t="n">
        <v>28.6</v>
      </c>
      <c r="J145" s="21" t="n">
        <v>3</v>
      </c>
      <c r="K145" s="21" t="inlineStr">
        <is>
          <t>Tørt og varmt, markeder fulle av frukt. Toppsesong.</t>
        </is>
      </c>
    </row>
    <row r="146">
      <c r="A146" s="21" t="inlineStr">
        <is>
          <t>SILK</t>
        </is>
      </c>
      <c r="B146" s="5">
        <f>IFERROR(INDEX(Destinasjoner!$E$5:$E$64,MATCH(A146,Destinasjoner!$A$5:$A$64,0)),"")</f>
        <v/>
      </c>
      <c r="C146" s="21" t="n">
        <v>10</v>
      </c>
      <c r="D146" s="5">
        <f>IF(C146="","",CHOOSE(C146,"jan","feb","mar","apr","mai","jun","jul","aug","sep","okt","nov","des"))</f>
        <v/>
      </c>
      <c r="E146" s="21" t="n">
        <v>5</v>
      </c>
      <c r="F146" s="21" t="n">
        <v>5</v>
      </c>
      <c r="G146" s="21" t="n">
        <v>3</v>
      </c>
      <c r="H146" s="18">
        <f>IF(COUNT(E146:G146)&lt;3,"",ROUND(IF(OR(E146=1,F146=1),MIN('Les meg'!$C$25,E146*'Les meg'!$C$21+F146*'Les meg'!$C$22+G146*'Les meg'!$C$23),E146*'Les meg'!$C$21+F146*'Les meg'!$C$22+G146*'Les meg'!$C$23),1))</f>
        <v/>
      </c>
      <c r="I146" s="21" t="n">
        <v>22</v>
      </c>
      <c r="J146" s="21" t="n">
        <v>16</v>
      </c>
      <c r="K146" s="21" t="inlineStr">
        <is>
          <t>Behagelig, høstfarger.</t>
        </is>
      </c>
    </row>
    <row r="147">
      <c r="A147" s="21" t="inlineStr">
        <is>
          <t>SILK</t>
        </is>
      </c>
      <c r="B147" s="5">
        <f>IFERROR(INDEX(Destinasjoner!$E$5:$E$64,MATCH(A147,Destinasjoner!$A$5:$A$64,0)),"")</f>
        <v/>
      </c>
      <c r="C147" s="21" t="n">
        <v>11</v>
      </c>
      <c r="D147" s="5">
        <f>IF(C147="","",CHOOSE(C147,"jan","feb","mar","apr","mai","jun","jul","aug","sep","okt","nov","des"))</f>
        <v/>
      </c>
      <c r="E147" s="21" t="n">
        <v>3</v>
      </c>
      <c r="F147" s="21" t="n">
        <v>3</v>
      </c>
      <c r="G147" s="21" t="n">
        <v>4</v>
      </c>
      <c r="H147" s="18">
        <f>IF(COUNT(E147:G147)&lt;3,"",ROUND(IF(OR(E147=1,F147=1),MIN('Les meg'!$C$25,E147*'Les meg'!$C$21+F147*'Les meg'!$C$22+G147*'Les meg'!$C$23),E147*'Les meg'!$C$21+F147*'Les meg'!$C$22+G147*'Les meg'!$C$23),1))</f>
        <v/>
      </c>
      <c r="I147" s="21" t="n">
        <v>14.4</v>
      </c>
      <c r="J147" s="21" t="n">
        <v>40</v>
      </c>
      <c r="K147" s="21" t="inlineStr">
        <is>
          <t>Kjølig, kortere dager.</t>
        </is>
      </c>
    </row>
    <row r="148">
      <c r="A148" s="21" t="inlineStr">
        <is>
          <t>SILK</t>
        </is>
      </c>
      <c r="B148" s="5">
        <f>IFERROR(INDEX(Destinasjoner!$E$5:$E$64,MATCH(A148,Destinasjoner!$A$5:$A$64,0)),"")</f>
        <v/>
      </c>
      <c r="C148" s="21" t="n">
        <v>12</v>
      </c>
      <c r="D148" s="5">
        <f>IF(C148="","",CHOOSE(C148,"jan","feb","mar","apr","mai","jun","jul","aug","sep","okt","nov","des"))</f>
        <v/>
      </c>
      <c r="E148" s="21" t="n">
        <v>2</v>
      </c>
      <c r="F148" s="21" t="n">
        <v>2</v>
      </c>
      <c r="G148" s="21" t="n">
        <v>5</v>
      </c>
      <c r="H148" s="18">
        <f>IF(COUNT(E148:G148)&lt;3,"",ROUND(IF(OR(E148=1,F148=1),MIN('Les meg'!$C$25,E148*'Les meg'!$C$21+F148*'Les meg'!$C$22+G148*'Les meg'!$C$23),E148*'Les meg'!$C$21+F148*'Les meg'!$C$22+G148*'Les meg'!$C$23),1))</f>
        <v/>
      </c>
      <c r="I148" s="21" t="n">
        <v>9.1</v>
      </c>
      <c r="J148" s="21" t="n">
        <v>39</v>
      </c>
      <c r="K148" s="21" t="inlineStr">
        <is>
          <t>Kaldt.</t>
        </is>
      </c>
    </row>
    <row r="149">
      <c r="A149" s="21" t="inlineStr">
        <is>
          <t>IDN-ROT</t>
        </is>
      </c>
      <c r="B149" s="5">
        <f>IFERROR(INDEX(Destinasjoner!$E$5:$E$64,MATCH(A149,Destinasjoner!$A$5:$A$64,0)),"")</f>
        <v/>
      </c>
      <c r="C149" s="21" t="n">
        <v>1</v>
      </c>
      <c r="D149" s="5">
        <f>IF(C149="","",CHOOSE(C149,"jan","feb","mar","apr","mai","jun","jul","aug","sep","okt","nov","des"))</f>
        <v/>
      </c>
      <c r="E149" s="21" t="n">
        <v>2</v>
      </c>
      <c r="F149" s="21" t="n">
        <v>2</v>
      </c>
      <c r="G149" s="21" t="n">
        <v>5</v>
      </c>
      <c r="H149" s="18">
        <f>IF(COUNT(E149:G149)&lt;3,"",ROUND(IF(OR(E149=1,F149=1),MIN('Les meg'!$C$25,E149*'Les meg'!$C$21+F149*'Les meg'!$C$22+G149*'Les meg'!$C$23),E149*'Les meg'!$C$21+F149*'Les meg'!$C$22+G149*'Les meg'!$C$23),1))</f>
        <v/>
      </c>
      <c r="I149" s="21" t="n">
        <v>30.9</v>
      </c>
      <c r="J149" s="21" t="n">
        <v>386</v>
      </c>
      <c r="K149" s="21" t="inlineStr">
        <is>
          <t>Regntid; svak surf, mulige avbrudd på fly/ferje.</t>
        </is>
      </c>
    </row>
    <row r="150">
      <c r="A150" s="21" t="inlineStr">
        <is>
          <t>IDN-ROT</t>
        </is>
      </c>
      <c r="B150" s="5">
        <f>IFERROR(INDEX(Destinasjoner!$E$5:$E$64,MATCH(A150,Destinasjoner!$A$5:$A$64,0)),"")</f>
        <v/>
      </c>
      <c r="C150" s="21" t="n">
        <v>2</v>
      </c>
      <c r="D150" s="5">
        <f>IF(C150="","",CHOOSE(C150,"jan","feb","mar","apr","mai","jun","jul","aug","sep","okt","nov","des"))</f>
        <v/>
      </c>
      <c r="E150" s="21" t="n">
        <v>2</v>
      </c>
      <c r="F150" s="21" t="n">
        <v>2</v>
      </c>
      <c r="G150" s="21" t="n">
        <v>5</v>
      </c>
      <c r="H150" s="18">
        <f>IF(COUNT(E150:G150)&lt;3,"",ROUND(IF(OR(E150=1,F150=1),MIN('Les meg'!$C$25,E150*'Les meg'!$C$21+F150*'Les meg'!$C$22+G150*'Les meg'!$C$23),E150*'Les meg'!$C$21+F150*'Les meg'!$C$22+G150*'Les meg'!$C$23),1))</f>
        <v/>
      </c>
      <c r="I150" s="21" t="n">
        <v>31</v>
      </c>
      <c r="J150" s="21" t="n">
        <v>347</v>
      </c>
      <c r="K150" s="21" t="inlineStr">
        <is>
          <t>Regntid.</t>
        </is>
      </c>
    </row>
    <row r="151">
      <c r="A151" s="21" t="inlineStr">
        <is>
          <t>IDN-ROT</t>
        </is>
      </c>
      <c r="B151" s="5">
        <f>IFERROR(INDEX(Destinasjoner!$E$5:$E$64,MATCH(A151,Destinasjoner!$A$5:$A$64,0)),"")</f>
        <v/>
      </c>
      <c r="C151" s="21" t="n">
        <v>3</v>
      </c>
      <c r="D151" s="5">
        <f>IF(C151="","",CHOOSE(C151,"jan","feb","mar","apr","mai","jun","jul","aug","sep","okt","nov","des"))</f>
        <v/>
      </c>
      <c r="E151" s="21" t="n">
        <v>2</v>
      </c>
      <c r="F151" s="21" t="n">
        <v>2</v>
      </c>
      <c r="G151" s="21" t="n">
        <v>5</v>
      </c>
      <c r="H151" s="18">
        <f>IF(COUNT(E151:G151)&lt;3,"",ROUND(IF(OR(E151=1,F151=1),MIN('Les meg'!$C$25,E151*'Les meg'!$C$21+F151*'Les meg'!$C$22+G151*'Les meg'!$C$23),E151*'Les meg'!$C$21+F151*'Les meg'!$C$22+G151*'Les meg'!$C$23),1))</f>
        <v/>
      </c>
      <c r="I151" s="21" t="n">
        <v>31.7</v>
      </c>
      <c r="J151" s="21" t="n">
        <v>234</v>
      </c>
      <c r="K151" s="21" t="inlineStr">
        <is>
          <t>Regntiden avtar.</t>
        </is>
      </c>
    </row>
    <row r="152">
      <c r="A152" s="21" t="inlineStr">
        <is>
          <t>IDN-ROT</t>
        </is>
      </c>
      <c r="B152" s="5">
        <f>IFERROR(INDEX(Destinasjoner!$E$5:$E$64,MATCH(A152,Destinasjoner!$A$5:$A$64,0)),"")</f>
        <v/>
      </c>
      <c r="C152" s="21" t="n">
        <v>4</v>
      </c>
      <c r="D152" s="5">
        <f>IF(C152="","",CHOOSE(C152,"jan","feb","mar","apr","mai","jun","jul","aug","sep","okt","nov","des"))</f>
        <v/>
      </c>
      <c r="E152" s="21" t="n">
        <v>4</v>
      </c>
      <c r="F152" s="21" t="n">
        <v>4</v>
      </c>
      <c r="G152" s="21" t="n">
        <v>4</v>
      </c>
      <c r="H152" s="18">
        <f>IF(COUNT(E152:G152)&lt;3,"",ROUND(IF(OR(E152=1,F152=1),MIN('Les meg'!$C$25,E152*'Les meg'!$C$21+F152*'Les meg'!$C$22+G152*'Les meg'!$C$23),E152*'Les meg'!$C$21+F152*'Les meg'!$C$22+G152*'Les meg'!$C$23),1))</f>
        <v/>
      </c>
      <c r="I152" s="21" t="n">
        <v>32.7</v>
      </c>
      <c r="J152" s="21" t="n">
        <v>65</v>
      </c>
      <c r="K152" s="21" t="inlineStr">
        <is>
          <t>Tørrsesong starter; surfen tar seg opp.</t>
        </is>
      </c>
    </row>
    <row r="153">
      <c r="A153" s="21" t="inlineStr">
        <is>
          <t>IDN-ROT</t>
        </is>
      </c>
      <c r="B153" s="5">
        <f>IFERROR(INDEX(Destinasjoner!$E$5:$E$64,MATCH(A153,Destinasjoner!$A$5:$A$64,0)),"")</f>
        <v/>
      </c>
      <c r="C153" s="21" t="n">
        <v>5</v>
      </c>
      <c r="D153" s="5">
        <f>IF(C153="","",CHOOSE(C153,"jan","feb","mar","apr","mai","jun","jul","aug","sep","okt","nov","des"))</f>
        <v/>
      </c>
      <c r="E153" s="21" t="n">
        <v>5</v>
      </c>
      <c r="F153" s="21" t="n">
        <v>5</v>
      </c>
      <c r="G153" s="21" t="n">
        <v>3</v>
      </c>
      <c r="H153" s="18">
        <f>IF(COUNT(E153:G153)&lt;3,"",ROUND(IF(OR(E153=1,F153=1),MIN('Les meg'!$C$25,E153*'Les meg'!$C$21+F153*'Les meg'!$C$22+G153*'Les meg'!$C$23),E153*'Les meg'!$C$21+F153*'Les meg'!$C$22+G153*'Les meg'!$C$23),1))</f>
        <v/>
      </c>
      <c r="I153" s="21" t="n">
        <v>32.5</v>
      </c>
      <c r="J153" s="21" t="n">
        <v>30</v>
      </c>
      <c r="K153" s="21" t="inlineStr">
        <is>
          <t>Tørt, god dønning.</t>
        </is>
      </c>
    </row>
    <row r="154">
      <c r="A154" s="21" t="inlineStr">
        <is>
          <t>IDN-ROT</t>
        </is>
      </c>
      <c r="B154" s="5">
        <f>IFERROR(INDEX(Destinasjoner!$E$5:$E$64,MATCH(A154,Destinasjoner!$A$5:$A$64,0)),"")</f>
        <v/>
      </c>
      <c r="C154" s="21" t="n">
        <v>6</v>
      </c>
      <c r="D154" s="5">
        <f>IF(C154="","",CHOOSE(C154,"jan","feb","mar","apr","mai","jun","jul","aug","sep","okt","nov","des"))</f>
        <v/>
      </c>
      <c r="E154" s="21" t="n">
        <v>5</v>
      </c>
      <c r="F154" s="21" t="n">
        <v>5</v>
      </c>
      <c r="G154" s="21" t="n">
        <v>2</v>
      </c>
      <c r="H154" s="18">
        <f>IF(COUNT(E154:G154)&lt;3,"",ROUND(IF(OR(E154=1,F154=1),MIN('Les meg'!$C$25,E154*'Les meg'!$C$21+F154*'Les meg'!$C$22+G154*'Les meg'!$C$23),E154*'Les meg'!$C$21+F154*'Les meg'!$C$22+G154*'Les meg'!$C$23),1))</f>
        <v/>
      </c>
      <c r="I154" s="21" t="n">
        <v>31.3</v>
      </c>
      <c r="J154" s="21" t="n">
        <v>10</v>
      </c>
      <c r="K154" s="21" t="inlineStr">
        <is>
          <t>Tørt; jevn sørvestdønning – topp surf i Nemberala.</t>
        </is>
      </c>
    </row>
    <row r="155">
      <c r="A155" s="21" t="inlineStr">
        <is>
          <t>IDN-ROT</t>
        </is>
      </c>
      <c r="B155" s="5">
        <f>IFERROR(INDEX(Destinasjoner!$E$5:$E$64,MATCH(A155,Destinasjoner!$A$5:$A$64,0)),"")</f>
        <v/>
      </c>
      <c r="C155" s="21" t="n">
        <v>7</v>
      </c>
      <c r="D155" s="5">
        <f>IF(C155="","",CHOOSE(C155,"jan","feb","mar","apr","mai","jun","jul","aug","sep","okt","nov","des"))</f>
        <v/>
      </c>
      <c r="E155" s="21" t="n">
        <v>5</v>
      </c>
      <c r="F155" s="21" t="n">
        <v>5</v>
      </c>
      <c r="G155" s="21" t="n">
        <v>2</v>
      </c>
      <c r="H155" s="18">
        <f>IF(COUNT(E155:G155)&lt;3,"",ROUND(IF(OR(E155=1,F155=1),MIN('Les meg'!$C$25,E155*'Les meg'!$C$21+F155*'Les meg'!$C$22+G155*'Les meg'!$C$23),E155*'Les meg'!$C$21+F155*'Les meg'!$C$22+G155*'Les meg'!$C$23),1))</f>
        <v/>
      </c>
      <c r="I155" s="21" t="n">
        <v>31.3</v>
      </c>
      <c r="J155" s="21" t="n">
        <v>5</v>
      </c>
      <c r="K155" s="21" t="inlineStr">
        <is>
          <t>Topp surf, tørt.</t>
        </is>
      </c>
    </row>
    <row r="156">
      <c r="A156" s="21" t="inlineStr">
        <is>
          <t>IDN-ROT</t>
        </is>
      </c>
      <c r="B156" s="5">
        <f>IFERROR(INDEX(Destinasjoner!$E$5:$E$64,MATCH(A156,Destinasjoner!$A$5:$A$64,0)),"")</f>
        <v/>
      </c>
      <c r="C156" s="21" t="n">
        <v>8</v>
      </c>
      <c r="D156" s="5">
        <f>IF(C156="","",CHOOSE(C156,"jan","feb","mar","apr","mai","jun","jul","aug","sep","okt","nov","des"))</f>
        <v/>
      </c>
      <c r="E156" s="21" t="n">
        <v>5</v>
      </c>
      <c r="F156" s="21" t="n">
        <v>5</v>
      </c>
      <c r="G156" s="21" t="n">
        <v>2</v>
      </c>
      <c r="H156" s="18">
        <f>IF(COUNT(E156:G156)&lt;3,"",ROUND(IF(OR(E156=1,F156=1),MIN('Les meg'!$C$25,E156*'Les meg'!$C$21+F156*'Les meg'!$C$22+G156*'Les meg'!$C$23),E156*'Les meg'!$C$21+F156*'Les meg'!$C$22+G156*'Les meg'!$C$23),1))</f>
        <v/>
      </c>
      <c r="I156" s="21" t="n">
        <v>32.2</v>
      </c>
      <c r="J156" s="21" t="n">
        <v>2</v>
      </c>
      <c r="K156" s="21" t="inlineStr">
        <is>
          <t>Topp surf, tørt.</t>
        </is>
      </c>
    </row>
    <row r="157">
      <c r="A157" s="21" t="inlineStr">
        <is>
          <t>IDN-ROT</t>
        </is>
      </c>
      <c r="B157" s="5">
        <f>IFERROR(INDEX(Destinasjoner!$E$5:$E$64,MATCH(A157,Destinasjoner!$A$5:$A$64,0)),"")</f>
        <v/>
      </c>
      <c r="C157" s="21" t="n">
        <v>9</v>
      </c>
      <c r="D157" s="5">
        <f>IF(C157="","",CHOOSE(C157,"jan","feb","mar","apr","mai","jun","jul","aug","sep","okt","nov","des"))</f>
        <v/>
      </c>
      <c r="E157" s="21" t="n">
        <v>5</v>
      </c>
      <c r="F157" s="21" t="n">
        <v>4</v>
      </c>
      <c r="G157" s="21" t="n">
        <v>3</v>
      </c>
      <c r="H157" s="18">
        <f>IF(COUNT(E157:G157)&lt;3,"",ROUND(IF(OR(E157=1,F157=1),MIN('Les meg'!$C$25,E157*'Les meg'!$C$21+F157*'Les meg'!$C$22+G157*'Les meg'!$C$23),E157*'Les meg'!$C$21+F157*'Les meg'!$C$22+G157*'Les meg'!$C$23),1))</f>
        <v/>
      </c>
      <c r="I157" s="21" t="n">
        <v>33.6</v>
      </c>
      <c r="J157" s="21" t="n">
        <v>2</v>
      </c>
      <c r="K157" s="21" t="inlineStr">
        <is>
          <t>Tørt og varmt.</t>
        </is>
      </c>
    </row>
    <row r="158">
      <c r="A158" s="21" t="inlineStr">
        <is>
          <t>IDN-ROT</t>
        </is>
      </c>
      <c r="B158" s="5">
        <f>IFERROR(INDEX(Destinasjoner!$E$5:$E$64,MATCH(A158,Destinasjoner!$A$5:$A$64,0)),"")</f>
        <v/>
      </c>
      <c r="C158" s="21" t="n">
        <v>10</v>
      </c>
      <c r="D158" s="5">
        <f>IF(C158="","",CHOOSE(C158,"jan","feb","mar","apr","mai","jun","jul","aug","sep","okt","nov","des"))</f>
        <v/>
      </c>
      <c r="E158" s="21" t="n">
        <v>4</v>
      </c>
      <c r="F158" s="21" t="n">
        <v>3</v>
      </c>
      <c r="G158" s="21" t="n">
        <v>4</v>
      </c>
      <c r="H158" s="18">
        <f>IF(COUNT(E158:G158)&lt;3,"",ROUND(IF(OR(E158=1,F158=1),MIN('Les meg'!$C$25,E158*'Les meg'!$C$21+F158*'Les meg'!$C$22+G158*'Les meg'!$C$23),E158*'Les meg'!$C$21+F158*'Les meg'!$C$22+G158*'Les meg'!$C$23),1))</f>
        <v/>
      </c>
      <c r="I158" s="21" t="n">
        <v>34.2</v>
      </c>
      <c r="J158" s="21" t="n">
        <v>17</v>
      </c>
      <c r="K158" s="21" t="inlineStr">
        <is>
          <t>Hett (34 °C), svakere dønning.</t>
        </is>
      </c>
    </row>
    <row r="159">
      <c r="A159" s="21" t="inlineStr">
        <is>
          <t>IDN-ROT</t>
        </is>
      </c>
      <c r="B159" s="5">
        <f>IFERROR(INDEX(Destinasjoner!$E$5:$E$64,MATCH(A159,Destinasjoner!$A$5:$A$64,0)),"")</f>
        <v/>
      </c>
      <c r="C159" s="21" t="n">
        <v>11</v>
      </c>
      <c r="D159" s="5">
        <f>IF(C159="","",CHOOSE(C159,"jan","feb","mar","apr","mai","jun","jul","aug","sep","okt","nov","des"))</f>
        <v/>
      </c>
      <c r="E159" s="21" t="n">
        <v>3</v>
      </c>
      <c r="F159" s="21" t="n">
        <v>2</v>
      </c>
      <c r="G159" s="21" t="n">
        <v>4</v>
      </c>
      <c r="H159" s="18">
        <f>IF(COUNT(E159:G159)&lt;3,"",ROUND(IF(OR(E159=1,F159=1),MIN('Les meg'!$C$25,E159*'Les meg'!$C$21+F159*'Les meg'!$C$22+G159*'Les meg'!$C$23),E159*'Les meg'!$C$21+F159*'Les meg'!$C$22+G159*'Les meg'!$C$23),1))</f>
        <v/>
      </c>
      <c r="I159" s="21" t="n">
        <v>34.1</v>
      </c>
      <c r="J159" s="21" t="n">
        <v>83</v>
      </c>
      <c r="K159" s="21" t="inlineStr">
        <is>
          <t>Regntiden starter.</t>
        </is>
      </c>
    </row>
    <row r="160">
      <c r="A160" s="21" t="inlineStr">
        <is>
          <t>IDN-ROT</t>
        </is>
      </c>
      <c r="B160" s="5">
        <f>IFERROR(INDEX(Destinasjoner!$E$5:$E$64,MATCH(A160,Destinasjoner!$A$5:$A$64,0)),"")</f>
        <v/>
      </c>
      <c r="C160" s="21" t="n">
        <v>12</v>
      </c>
      <c r="D160" s="5">
        <f>IF(C160="","",CHOOSE(C160,"jan","feb","mar","apr","mai","jun","jul","aug","sep","okt","nov","des"))</f>
        <v/>
      </c>
      <c r="E160" s="21" t="n">
        <v>2</v>
      </c>
      <c r="F160" s="21" t="n">
        <v>2</v>
      </c>
      <c r="G160" s="21" t="n">
        <v>5</v>
      </c>
      <c r="H160" s="18">
        <f>IF(COUNT(E160:G160)&lt;3,"",ROUND(IF(OR(E160=1,F160=1),MIN('Les meg'!$C$25,E160*'Les meg'!$C$21+F160*'Les meg'!$C$22+G160*'Les meg'!$C$23),E160*'Les meg'!$C$21+F160*'Les meg'!$C$22+G160*'Les meg'!$C$23),1))</f>
        <v/>
      </c>
      <c r="I160" s="21" t="n">
        <v>31.9</v>
      </c>
      <c r="J160" s="21" t="n">
        <v>232</v>
      </c>
      <c r="K160" s="21" t="inlineStr">
        <is>
          <t>Regntid.</t>
        </is>
      </c>
    </row>
    <row r="161">
      <c r="A161" s="21" t="inlineStr">
        <is>
          <t>SGP</t>
        </is>
      </c>
      <c r="B161" s="5">
        <f>IFERROR(INDEX(Destinasjoner!$E$5:$E$64,MATCH(A161,Destinasjoner!$A$5:$A$64,0)),"")</f>
        <v/>
      </c>
      <c r="C161" s="21" t="n">
        <v>1</v>
      </c>
      <c r="D161" s="5">
        <f>IF(C161="","",CHOOSE(C161,"jan","feb","mar","apr","mai","jun","jul","aug","sep","okt","nov","des"))</f>
        <v/>
      </c>
      <c r="E161" s="21" t="n">
        <v>3</v>
      </c>
      <c r="F161" s="21" t="n">
        <v>4</v>
      </c>
      <c r="G161" s="21" t="n">
        <v>4</v>
      </c>
      <c r="H161" s="18">
        <f>IF(COUNT(E161:G161)&lt;3,"",ROUND(IF(OR(E161=1,F161=1),MIN('Les meg'!$C$25,E161*'Les meg'!$C$21+F161*'Les meg'!$C$22+G161*'Les meg'!$C$23),E161*'Les meg'!$C$21+F161*'Les meg'!$C$22+G161*'Les meg'!$C$23),1))</f>
        <v/>
      </c>
      <c r="I161" s="21" t="n">
        <v>30.6</v>
      </c>
      <c r="J161" s="21" t="n">
        <v>222</v>
      </c>
      <c r="K161" s="21" t="inlineStr">
        <is>
          <t>Nordøstmonsun, byger, litt kjøligere. Kinesisk nyttår (se Vinduer).</t>
        </is>
      </c>
    </row>
    <row r="162">
      <c r="A162" s="21" t="inlineStr">
        <is>
          <t>SGP</t>
        </is>
      </c>
      <c r="B162" s="5">
        <f>IFERROR(INDEX(Destinasjoner!$E$5:$E$64,MATCH(A162,Destinasjoner!$A$5:$A$64,0)),"")</f>
        <v/>
      </c>
      <c r="C162" s="21" t="n">
        <v>2</v>
      </c>
      <c r="D162" s="5">
        <f>IF(C162="","",CHOOSE(C162,"jan","feb","mar","apr","mai","jun","jul","aug","sep","okt","nov","des"))</f>
        <v/>
      </c>
      <c r="E162" s="21" t="n">
        <v>5</v>
      </c>
      <c r="F162" s="21" t="n">
        <v>4</v>
      </c>
      <c r="G162" s="21" t="n">
        <v>3</v>
      </c>
      <c r="H162" s="18">
        <f>IF(COUNT(E162:G162)&lt;3,"",ROUND(IF(OR(E162=1,F162=1),MIN('Les meg'!$C$25,E162*'Les meg'!$C$21+F162*'Les meg'!$C$22+G162*'Les meg'!$C$23),E162*'Les meg'!$C$21+F162*'Les meg'!$C$22+G162*'Les meg'!$C$23),1))</f>
        <v/>
      </c>
      <c r="I162" s="21" t="n">
        <v>31.5</v>
      </c>
      <c r="J162" s="21" t="n">
        <v>105</v>
      </c>
      <c r="K162" s="21" t="inlineStr">
        <is>
          <t>Tørreste og mest solrike måned.</t>
        </is>
      </c>
    </row>
    <row r="163">
      <c r="A163" s="21" t="inlineStr">
        <is>
          <t>SGP</t>
        </is>
      </c>
      <c r="B163" s="5">
        <f>IFERROR(INDEX(Destinasjoner!$E$5:$E$64,MATCH(A163,Destinasjoner!$A$5:$A$64,0)),"")</f>
        <v/>
      </c>
      <c r="C163" s="21" t="n">
        <v>3</v>
      </c>
      <c r="D163" s="5">
        <f>IF(C163="","",CHOOSE(C163,"jan","feb","mar","apr","mai","jun","jul","aug","sep","okt","nov","des"))</f>
        <v/>
      </c>
      <c r="E163" s="21" t="n">
        <v>4</v>
      </c>
      <c r="F163" s="21" t="n">
        <v>4</v>
      </c>
      <c r="G163" s="21" t="n">
        <v>4</v>
      </c>
      <c r="H163" s="18">
        <f>IF(COUNT(E163:G163)&lt;3,"",ROUND(IF(OR(E163=1,F163=1),MIN('Les meg'!$C$25,E163*'Les meg'!$C$21+F163*'Les meg'!$C$22+G163*'Les meg'!$C$23),E163*'Les meg'!$C$21+F163*'Les meg'!$C$22+G163*'Les meg'!$C$23),1))</f>
        <v/>
      </c>
      <c r="I163" s="21" t="n">
        <v>32.2</v>
      </c>
      <c r="J163" s="21" t="n">
        <v>152</v>
      </c>
      <c r="K163" s="21" t="inlineStr">
        <is>
          <t>Varmt, relativt tørt.</t>
        </is>
      </c>
    </row>
    <row r="164">
      <c r="A164" s="21" t="inlineStr">
        <is>
          <t>SGP</t>
        </is>
      </c>
      <c r="B164" s="5">
        <f>IFERROR(INDEX(Destinasjoner!$E$5:$E$64,MATCH(A164,Destinasjoner!$A$5:$A$64,0)),"")</f>
        <v/>
      </c>
      <c r="C164" s="21" t="n">
        <v>4</v>
      </c>
      <c r="D164" s="5">
        <f>IF(C164="","",CHOOSE(C164,"jan","feb","mar","apr","mai","jun","jul","aug","sep","okt","nov","des"))</f>
        <v/>
      </c>
      <c r="E164" s="21" t="n">
        <v>3</v>
      </c>
      <c r="F164" s="21" t="n">
        <v>4</v>
      </c>
      <c r="G164" s="21" t="n">
        <v>4</v>
      </c>
      <c r="H164" s="18">
        <f>IF(COUNT(E164:G164)&lt;3,"",ROUND(IF(OR(E164=1,F164=1),MIN('Les meg'!$C$25,E164*'Les meg'!$C$21+F164*'Les meg'!$C$22+G164*'Les meg'!$C$23),E164*'Les meg'!$C$21+F164*'Les meg'!$C$22+G164*'Les meg'!$C$23),1))</f>
        <v/>
      </c>
      <c r="I164" s="21" t="n">
        <v>32.4</v>
      </c>
      <c r="J164" s="21" t="n">
        <v>164</v>
      </c>
      <c r="K164" s="21" t="inlineStr">
        <is>
          <t>Varmt, ettermiddagstorden.</t>
        </is>
      </c>
    </row>
    <row r="165">
      <c r="A165" s="21" t="inlineStr">
        <is>
          <t>SGP</t>
        </is>
      </c>
      <c r="B165" s="5">
        <f>IFERROR(INDEX(Destinasjoner!$E$5:$E$64,MATCH(A165,Destinasjoner!$A$5:$A$64,0)),"")</f>
        <v/>
      </c>
      <c r="C165" s="21" t="n">
        <v>5</v>
      </c>
      <c r="D165" s="5">
        <f>IF(C165="","",CHOOSE(C165,"jan","feb","mar","apr","mai","jun","jul","aug","sep","okt","nov","des"))</f>
        <v/>
      </c>
      <c r="E165" s="21" t="n">
        <v>3</v>
      </c>
      <c r="F165" s="21" t="n">
        <v>4</v>
      </c>
      <c r="G165" s="21" t="n">
        <v>4</v>
      </c>
      <c r="H165" s="18">
        <f>IF(COUNT(E165:G165)&lt;3,"",ROUND(IF(OR(E165=1,F165=1),MIN('Les meg'!$C$25,E165*'Les meg'!$C$21+F165*'Les meg'!$C$22+G165*'Les meg'!$C$23),E165*'Les meg'!$C$21+F165*'Les meg'!$C$22+G165*'Les meg'!$C$23),1))</f>
        <v/>
      </c>
      <c r="I165" s="21" t="n">
        <v>32.3</v>
      </c>
      <c r="J165" s="21" t="n">
        <v>164</v>
      </c>
      <c r="K165" s="21" t="inlineStr">
        <is>
          <t>Varmt, torden.</t>
        </is>
      </c>
    </row>
    <row r="166">
      <c r="A166" s="21" t="inlineStr">
        <is>
          <t>SGP</t>
        </is>
      </c>
      <c r="B166" s="5">
        <f>IFERROR(INDEX(Destinasjoner!$E$5:$E$64,MATCH(A166,Destinasjoner!$A$5:$A$64,0)),"")</f>
        <v/>
      </c>
      <c r="C166" s="21" t="n">
        <v>6</v>
      </c>
      <c r="D166" s="5">
        <f>IF(C166="","",CHOOSE(C166,"jan","feb","mar","apr","mai","jun","jul","aug","sep","okt","nov","des"))</f>
        <v/>
      </c>
      <c r="E166" s="21" t="n">
        <v>3</v>
      </c>
      <c r="F166" s="21" t="n">
        <v>4</v>
      </c>
      <c r="G166" s="21" t="n">
        <v>3</v>
      </c>
      <c r="H166" s="18">
        <f>IF(COUNT(E166:G166)&lt;3,"",ROUND(IF(OR(E166=1,F166=1),MIN('Les meg'!$C$25,E166*'Les meg'!$C$21+F166*'Les meg'!$C$22+G166*'Les meg'!$C$23),E166*'Les meg'!$C$21+F166*'Les meg'!$C$22+G166*'Les meg'!$C$23),1))</f>
        <v/>
      </c>
      <c r="I166" s="21" t="n">
        <v>31.9</v>
      </c>
      <c r="J166" s="21" t="n">
        <v>135</v>
      </c>
      <c r="K166" s="21" t="inlineStr">
        <is>
          <t>Skoleferie; Great Singapore Sale.</t>
        </is>
      </c>
    </row>
    <row r="167">
      <c r="A167" s="21" t="inlineStr">
        <is>
          <t>SGP</t>
        </is>
      </c>
      <c r="B167" s="5">
        <f>IFERROR(INDEX(Destinasjoner!$E$5:$E$64,MATCH(A167,Destinasjoner!$A$5:$A$64,0)),"")</f>
        <v/>
      </c>
      <c r="C167" s="21" t="n">
        <v>7</v>
      </c>
      <c r="D167" s="5">
        <f>IF(C167="","",CHOOSE(C167,"jan","feb","mar","apr","mai","jun","jul","aug","sep","okt","nov","des"))</f>
        <v/>
      </c>
      <c r="E167" s="21" t="n">
        <v>4</v>
      </c>
      <c r="F167" s="21" t="n">
        <v>4</v>
      </c>
      <c r="G167" s="21" t="n">
        <v>3</v>
      </c>
      <c r="H167" s="18">
        <f>IF(COUNT(E167:G167)&lt;3,"",ROUND(IF(OR(E167=1,F167=1),MIN('Les meg'!$C$25,E167*'Les meg'!$C$21+F167*'Les meg'!$C$22+G167*'Les meg'!$C$23),E167*'Les meg'!$C$21+F167*'Les meg'!$C$22+G167*'Les meg'!$C$23),1))</f>
        <v/>
      </c>
      <c r="I167" s="21" t="n">
        <v>31.4</v>
      </c>
      <c r="J167" s="21" t="n">
        <v>147</v>
      </c>
      <c r="K167" s="21" t="inlineStr">
        <is>
          <t>Relativt tørt.</t>
        </is>
      </c>
    </row>
    <row r="168">
      <c r="A168" s="21" t="inlineStr">
        <is>
          <t>SGP</t>
        </is>
      </c>
      <c r="B168" s="5">
        <f>IFERROR(INDEX(Destinasjoner!$E$5:$E$64,MATCH(A168,Destinasjoner!$A$5:$A$64,0)),"")</f>
        <v/>
      </c>
      <c r="C168" s="21" t="n">
        <v>8</v>
      </c>
      <c r="D168" s="5">
        <f>IF(C168="","",CHOOSE(C168,"jan","feb","mar","apr","mai","jun","jul","aug","sep","okt","nov","des"))</f>
        <v/>
      </c>
      <c r="E168" s="21" t="n">
        <v>3</v>
      </c>
      <c r="F168" s="21" t="n">
        <v>4</v>
      </c>
      <c r="G168" s="21" t="n">
        <v>3</v>
      </c>
      <c r="H168" s="18">
        <f>IF(COUNT(E168:G168)&lt;3,"",ROUND(IF(OR(E168=1,F168=1),MIN('Les meg'!$C$25,E168*'Les meg'!$C$21+F168*'Les meg'!$C$22+G168*'Les meg'!$C$23),E168*'Les meg'!$C$21+F168*'Les meg'!$C$22+G168*'Les meg'!$C$23),1))</f>
        <v/>
      </c>
      <c r="I168" s="21" t="n">
        <v>31.4</v>
      </c>
      <c r="J168" s="21" t="n">
        <v>147</v>
      </c>
      <c r="K168" s="21" t="inlineStr">
        <is>
          <t>Nasjonaldag 9.8. Risiko for røykdis fra skogbranner i Indonesia.</t>
        </is>
      </c>
    </row>
    <row r="169">
      <c r="A169" s="21" t="inlineStr">
        <is>
          <t>SGP</t>
        </is>
      </c>
      <c r="B169" s="5">
        <f>IFERROR(INDEX(Destinasjoner!$E$5:$E$64,MATCH(A169,Destinasjoner!$A$5:$A$64,0)),"")</f>
        <v/>
      </c>
      <c r="C169" s="21" t="n">
        <v>9</v>
      </c>
      <c r="D169" s="5">
        <f>IF(C169="","",CHOOSE(C169,"jan","feb","mar","apr","mai","jun","jul","aug","sep","okt","nov","des"))</f>
        <v/>
      </c>
      <c r="E169" s="21" t="n">
        <v>3</v>
      </c>
      <c r="F169" s="21" t="n">
        <v>4</v>
      </c>
      <c r="G169" s="21" t="n">
        <v>2</v>
      </c>
      <c r="H169" s="18">
        <f>IF(COUNT(E169:G169)&lt;3,"",ROUND(IF(OR(E169=1,F169=1),MIN('Les meg'!$C$25,E169*'Les meg'!$C$21+F169*'Les meg'!$C$22+G169*'Les meg'!$C$23),E169*'Les meg'!$C$21+F169*'Les meg'!$C$22+G169*'Les meg'!$C$23),1))</f>
        <v/>
      </c>
      <c r="I169" s="21" t="n">
        <v>31.6</v>
      </c>
      <c r="J169" s="21" t="n">
        <v>125</v>
      </c>
      <c r="K169" s="21" t="inlineStr">
        <is>
          <t>Røykdis-risiko. F1-helgen gir høye hotellpriser.</t>
        </is>
      </c>
    </row>
    <row r="170">
      <c r="A170" s="21" t="inlineStr">
        <is>
          <t>SGP</t>
        </is>
      </c>
      <c r="B170" s="5">
        <f>IFERROR(INDEX(Destinasjoner!$E$5:$E$64,MATCH(A170,Destinasjoner!$A$5:$A$64,0)),"")</f>
        <v/>
      </c>
      <c r="C170" s="21" t="n">
        <v>10</v>
      </c>
      <c r="D170" s="5">
        <f>IF(C170="","",CHOOSE(C170,"jan","feb","mar","apr","mai","jun","jul","aug","sep","okt","nov","des"))</f>
        <v/>
      </c>
      <c r="E170" s="21" t="n">
        <v>3</v>
      </c>
      <c r="F170" s="21" t="n">
        <v>4</v>
      </c>
      <c r="G170" s="21" t="n">
        <v>4</v>
      </c>
      <c r="H170" s="18">
        <f>IF(COUNT(E170:G170)&lt;3,"",ROUND(IF(OR(E170=1,F170=1),MIN('Les meg'!$C$25,E170*'Les meg'!$C$21+F170*'Les meg'!$C$22+G170*'Les meg'!$C$23),E170*'Les meg'!$C$21+F170*'Les meg'!$C$22+G170*'Les meg'!$C$23),1))</f>
        <v/>
      </c>
      <c r="I170" s="21" t="n">
        <v>31.8</v>
      </c>
      <c r="J170" s="21" t="n">
        <v>168</v>
      </c>
      <c r="K170" s="21" t="inlineStr">
        <is>
          <t>Mellommonsun, torden, røykdis-risiko.</t>
        </is>
      </c>
    </row>
    <row r="171">
      <c r="A171" s="21" t="inlineStr">
        <is>
          <t>SGP</t>
        </is>
      </c>
      <c r="B171" s="5">
        <f>IFERROR(INDEX(Destinasjoner!$E$5:$E$64,MATCH(A171,Destinasjoner!$A$5:$A$64,0)),"")</f>
        <v/>
      </c>
      <c r="C171" s="21" t="n">
        <v>11</v>
      </c>
      <c r="D171" s="5">
        <f>IF(C171="","",CHOOSE(C171,"jan","feb","mar","apr","mai","jun","jul","aug","sep","okt","nov","des"))</f>
        <v/>
      </c>
      <c r="E171" s="21" t="n">
        <v>2</v>
      </c>
      <c r="F171" s="21" t="n">
        <v>4</v>
      </c>
      <c r="G171" s="21" t="n">
        <v>4</v>
      </c>
      <c r="H171" s="18">
        <f>IF(COUNT(E171:G171)&lt;3,"",ROUND(IF(OR(E171=1,F171=1),MIN('Les meg'!$C$25,E171*'Les meg'!$C$21+F171*'Les meg'!$C$22+G171*'Les meg'!$C$23),E171*'Les meg'!$C$21+F171*'Les meg'!$C$22+G171*'Les meg'!$C$23),1))</f>
        <v/>
      </c>
      <c r="I171" s="21" t="n">
        <v>31.2</v>
      </c>
      <c r="J171" s="21" t="n">
        <v>252</v>
      </c>
      <c r="K171" s="21" t="inlineStr">
        <is>
          <t>Våtere.</t>
        </is>
      </c>
    </row>
    <row r="172">
      <c r="A172" s="21" t="inlineStr">
        <is>
          <t>SGP</t>
        </is>
      </c>
      <c r="B172" s="5">
        <f>IFERROR(INDEX(Destinasjoner!$E$5:$E$64,MATCH(A172,Destinasjoner!$A$5:$A$64,0)),"")</f>
        <v/>
      </c>
      <c r="C172" s="21" t="n">
        <v>12</v>
      </c>
      <c r="D172" s="5">
        <f>IF(C172="","",CHOOSE(C172,"jan","feb","mar","apr","mai","jun","jul","aug","sep","okt","nov","des"))</f>
        <v/>
      </c>
      <c r="E172" s="21" t="n">
        <v>2</v>
      </c>
      <c r="F172" s="21" t="n">
        <v>4</v>
      </c>
      <c r="G172" s="21" t="n">
        <v>3</v>
      </c>
      <c r="H172" s="18">
        <f>IF(COUNT(E172:G172)&lt;3,"",ROUND(IF(OR(E172=1,F172=1),MIN('Les meg'!$C$25,E172*'Les meg'!$C$21+F172*'Les meg'!$C$22+G172*'Les meg'!$C$23),E172*'Les meg'!$C$21+F172*'Les meg'!$C$22+G172*'Les meg'!$C$23),1))</f>
        <v/>
      </c>
      <c r="I172" s="21" t="n">
        <v>30.5</v>
      </c>
      <c r="J172" s="21" t="n">
        <v>332</v>
      </c>
      <c r="K172" s="21" t="inlineStr">
        <is>
          <t>Vått (330 mm); jul og ferie.</t>
        </is>
      </c>
    </row>
    <row r="173">
      <c r="A173" s="21" t="inlineStr">
        <is>
          <t>PHL</t>
        </is>
      </c>
      <c r="B173" s="5">
        <f>IFERROR(INDEX(Destinasjoner!$E$5:$E$64,MATCH(A173,Destinasjoner!$A$5:$A$64,0)),"")</f>
        <v/>
      </c>
      <c r="C173" s="21" t="n">
        <v>1</v>
      </c>
      <c r="D173" s="5">
        <f>IF(C173="","",CHOOSE(C173,"jan","feb","mar","apr","mai","jun","jul","aug","sep","okt","nov","des"))</f>
        <v/>
      </c>
      <c r="E173" s="21" t="n">
        <v>5</v>
      </c>
      <c r="F173" s="21" t="n">
        <v>5</v>
      </c>
      <c r="G173" s="21" t="n">
        <v>2</v>
      </c>
      <c r="H173" s="18">
        <f>IF(COUNT(E173:G173)&lt;3,"",ROUND(IF(OR(E173=1,F173=1),MIN('Les meg'!$C$25,E173*'Les meg'!$C$21+F173*'Les meg'!$C$22+G173*'Les meg'!$C$23),E173*'Les meg'!$C$21+F173*'Les meg'!$C$22+G173*'Les meg'!$C$23),1))</f>
        <v/>
      </c>
      <c r="I173" s="21" t="n">
        <v>30.9</v>
      </c>
      <c r="J173" s="21" t="n">
        <v>56</v>
      </c>
      <c r="K173" s="21" t="inlineStr">
        <is>
          <t>Tørt, rolig sjø. Høysesong.</t>
        </is>
      </c>
    </row>
    <row r="174">
      <c r="A174" s="21" t="inlineStr">
        <is>
          <t>PHL</t>
        </is>
      </c>
      <c r="B174" s="5">
        <f>IFERROR(INDEX(Destinasjoner!$E$5:$E$64,MATCH(A174,Destinasjoner!$A$5:$A$64,0)),"")</f>
        <v/>
      </c>
      <c r="C174" s="21" t="n">
        <v>2</v>
      </c>
      <c r="D174" s="5">
        <f>IF(C174="","",CHOOSE(C174,"jan","feb","mar","apr","mai","jun","jul","aug","sep","okt","nov","des"))</f>
        <v/>
      </c>
      <c r="E174" s="21" t="n">
        <v>5</v>
      </c>
      <c r="F174" s="21" t="n">
        <v>5</v>
      </c>
      <c r="G174" s="21" t="n">
        <v>2</v>
      </c>
      <c r="H174" s="18">
        <f>IF(COUNT(E174:G174)&lt;3,"",ROUND(IF(OR(E174=1,F174=1),MIN('Les meg'!$C$25,E174*'Les meg'!$C$21+F174*'Les meg'!$C$22+G174*'Les meg'!$C$23),E174*'Les meg'!$C$21+F174*'Les meg'!$C$22+G174*'Les meg'!$C$23),1))</f>
        <v/>
      </c>
      <c r="I174" s="21" t="n">
        <v>31.1</v>
      </c>
      <c r="J174" s="21" t="n">
        <v>31</v>
      </c>
      <c r="K174" s="21" t="inlineStr">
        <is>
          <t>Tørt, rolig sjø.</t>
        </is>
      </c>
    </row>
    <row r="175">
      <c r="A175" s="21" t="inlineStr">
        <is>
          <t>PHL</t>
        </is>
      </c>
      <c r="B175" s="5">
        <f>IFERROR(INDEX(Destinasjoner!$E$5:$E$64,MATCH(A175,Destinasjoner!$A$5:$A$64,0)),"")</f>
        <v/>
      </c>
      <c r="C175" s="21" t="n">
        <v>3</v>
      </c>
      <c r="D175" s="5">
        <f>IF(C175="","",CHOOSE(C175,"jan","feb","mar","apr","mai","jun","jul","aug","sep","okt","nov","des"))</f>
        <v/>
      </c>
      <c r="E175" s="21" t="n">
        <v>5</v>
      </c>
      <c r="F175" s="21" t="n">
        <v>5</v>
      </c>
      <c r="G175" s="21" t="n">
        <v>3</v>
      </c>
      <c r="H175" s="18">
        <f>IF(COUNT(E175:G175)&lt;3,"",ROUND(IF(OR(E175=1,F175=1),MIN('Les meg'!$C$25,E175*'Les meg'!$C$21+F175*'Les meg'!$C$22+G175*'Les meg'!$C$23),E175*'Les meg'!$C$21+F175*'Les meg'!$C$22+G175*'Les meg'!$C$23),1))</f>
        <v/>
      </c>
      <c r="I175" s="21" t="n">
        <v>31.9</v>
      </c>
      <c r="J175" s="21" t="n">
        <v>37</v>
      </c>
      <c r="K175" s="21" t="inlineStr">
        <is>
          <t>Tørrest, varmt.</t>
        </is>
      </c>
    </row>
    <row r="176">
      <c r="A176" s="21" t="inlineStr">
        <is>
          <t>PHL</t>
        </is>
      </c>
      <c r="B176" s="5">
        <f>IFERROR(INDEX(Destinasjoner!$E$5:$E$64,MATCH(A176,Destinasjoner!$A$5:$A$64,0)),"")</f>
        <v/>
      </c>
      <c r="C176" s="21" t="n">
        <v>4</v>
      </c>
      <c r="D176" s="5">
        <f>IF(C176="","",CHOOSE(C176,"jan","feb","mar","apr","mai","jun","jul","aug","sep","okt","nov","des"))</f>
        <v/>
      </c>
      <c r="E176" s="21" t="n">
        <v>4</v>
      </c>
      <c r="F176" s="21" t="n">
        <v>5</v>
      </c>
      <c r="G176" s="21" t="n">
        <v>2</v>
      </c>
      <c r="H176" s="18">
        <f>IF(COUNT(E176:G176)&lt;3,"",ROUND(IF(OR(E176=1,F176=1),MIN('Les meg'!$C$25,E176*'Les meg'!$C$21+F176*'Les meg'!$C$22+G176*'Les meg'!$C$23),E176*'Les meg'!$C$21+F176*'Les meg'!$C$22+G176*'Les meg'!$C$23),1))</f>
        <v/>
      </c>
      <c r="I176" s="21" t="n">
        <v>32.9</v>
      </c>
      <c r="J176" s="21" t="n">
        <v>49</v>
      </c>
      <c r="K176" s="21" t="inlineStr">
        <is>
          <t>Varmt (33 °C). Påske = innenlands høysesong.</t>
        </is>
      </c>
    </row>
    <row r="177">
      <c r="A177" s="21" t="inlineStr">
        <is>
          <t>PHL</t>
        </is>
      </c>
      <c r="B177" s="5">
        <f>IFERROR(INDEX(Destinasjoner!$E$5:$E$64,MATCH(A177,Destinasjoner!$A$5:$A$64,0)),"")</f>
        <v/>
      </c>
      <c r="C177" s="21" t="n">
        <v>5</v>
      </c>
      <c r="D177" s="5">
        <f>IF(C177="","",CHOOSE(C177,"jan","feb","mar","apr","mai","jun","jul","aug","sep","okt","nov","des"))</f>
        <v/>
      </c>
      <c r="E177" s="21" t="n">
        <v>3</v>
      </c>
      <c r="F177" s="21" t="n">
        <v>4</v>
      </c>
      <c r="G177" s="21" t="n">
        <v>4</v>
      </c>
      <c r="H177" s="18">
        <f>IF(COUNT(E177:G177)&lt;3,"",ROUND(IF(OR(E177=1,F177=1),MIN('Les meg'!$C$25,E177*'Les meg'!$C$21+F177*'Les meg'!$C$22+G177*'Les meg'!$C$23),E177*'Les meg'!$C$21+F177*'Les meg'!$C$22+G177*'Les meg'!$C$23),1))</f>
        <v/>
      </c>
      <c r="I177" s="21" t="n">
        <v>32.9</v>
      </c>
      <c r="J177" s="21" t="n">
        <v>126</v>
      </c>
      <c r="K177" s="21" t="inlineStr">
        <is>
          <t>Varmt, regnet starter mot slutten.</t>
        </is>
      </c>
    </row>
    <row r="178">
      <c r="A178" s="21" t="inlineStr">
        <is>
          <t>PHL</t>
        </is>
      </c>
      <c r="B178" s="5">
        <f>IFERROR(INDEX(Destinasjoner!$E$5:$E$64,MATCH(A178,Destinasjoner!$A$5:$A$64,0)),"")</f>
        <v/>
      </c>
      <c r="C178" s="21" t="n">
        <v>6</v>
      </c>
      <c r="D178" s="5">
        <f>IF(C178="","",CHOOSE(C178,"jan","feb","mar","apr","mai","jun","jul","aug","sep","okt","nov","des"))</f>
        <v/>
      </c>
      <c r="E178" s="21" t="n">
        <v>2</v>
      </c>
      <c r="F178" s="21" t="n">
        <v>3</v>
      </c>
      <c r="G178" s="21" t="n">
        <v>5</v>
      </c>
      <c r="H178" s="18">
        <f>IF(COUNT(E178:G178)&lt;3,"",ROUND(IF(OR(E178=1,F178=1),MIN('Les meg'!$C$25,E178*'Les meg'!$C$21+F178*'Les meg'!$C$22+G178*'Les meg'!$C$23),E178*'Les meg'!$C$21+F178*'Les meg'!$C$22+G178*'Les meg'!$C$23),1))</f>
        <v/>
      </c>
      <c r="I178" s="21" t="n">
        <v>32.1</v>
      </c>
      <c r="J178" s="21" t="n">
        <v>157</v>
      </c>
      <c r="K178" s="21" t="inlineStr">
        <is>
          <t>Sørvestmonsun (habagat), grov sjø i El Nido.</t>
        </is>
      </c>
    </row>
    <row r="179">
      <c r="A179" s="21" t="inlineStr">
        <is>
          <t>PHL</t>
        </is>
      </c>
      <c r="B179" s="5">
        <f>IFERROR(INDEX(Destinasjoner!$E$5:$E$64,MATCH(A179,Destinasjoner!$A$5:$A$64,0)),"")</f>
        <v/>
      </c>
      <c r="C179" s="21" t="n">
        <v>7</v>
      </c>
      <c r="D179" s="5">
        <f>IF(C179="","",CHOOSE(C179,"jan","feb","mar","apr","mai","jun","jul","aug","sep","okt","nov","des"))</f>
        <v/>
      </c>
      <c r="E179" s="21" t="n">
        <v>2</v>
      </c>
      <c r="F179" s="21" t="n">
        <v>2</v>
      </c>
      <c r="G179" s="21" t="n">
        <v>5</v>
      </c>
      <c r="H179" s="18">
        <f>IF(COUNT(E179:G179)&lt;3,"",ROUND(IF(OR(E179=1,F179=1),MIN('Les meg'!$C$25,E179*'Les meg'!$C$21+F179*'Les meg'!$C$22+G179*'Les meg'!$C$23),E179*'Les meg'!$C$21+F179*'Les meg'!$C$22+G179*'Les meg'!$C$23),1))</f>
        <v/>
      </c>
      <c r="I179" s="21" t="n">
        <v>31.5</v>
      </c>
      <c r="J179" s="21" t="n">
        <v>170</v>
      </c>
      <c r="K179" s="21" t="inlineStr">
        <is>
          <t>Monsun og tyfonrisiko; båtturer kanselleres.</t>
        </is>
      </c>
    </row>
    <row r="180">
      <c r="A180" s="21" t="inlineStr">
        <is>
          <t>PHL</t>
        </is>
      </c>
      <c r="B180" s="5">
        <f>IFERROR(INDEX(Destinasjoner!$E$5:$E$64,MATCH(A180,Destinasjoner!$A$5:$A$64,0)),"")</f>
        <v/>
      </c>
      <c r="C180" s="21" t="n">
        <v>8</v>
      </c>
      <c r="D180" s="5">
        <f>IF(C180="","",CHOOSE(C180,"jan","feb","mar","apr","mai","jun","jul","aug","sep","okt","nov","des"))</f>
        <v/>
      </c>
      <c r="E180" s="21" t="n">
        <v>2</v>
      </c>
      <c r="F180" s="21" t="n">
        <v>2</v>
      </c>
      <c r="G180" s="21" t="n">
        <v>5</v>
      </c>
      <c r="H180" s="18">
        <f>IF(COUNT(E180:G180)&lt;3,"",ROUND(IF(OR(E180=1,F180=1),MIN('Les meg'!$C$25,E180*'Les meg'!$C$21+F180*'Les meg'!$C$22+G180*'Les meg'!$C$23),E180*'Les meg'!$C$21+F180*'Les meg'!$C$22+G180*'Les meg'!$C$23),1))</f>
        <v/>
      </c>
      <c r="I180" s="21" t="n">
        <v>31.6</v>
      </c>
      <c r="J180" s="21" t="n">
        <v>173</v>
      </c>
      <c r="K180" s="21" t="inlineStr">
        <is>
          <t>Monsun og tyfonrisiko.</t>
        </is>
      </c>
    </row>
    <row r="181">
      <c r="A181" s="21" t="inlineStr">
        <is>
          <t>PHL</t>
        </is>
      </c>
      <c r="B181" s="5">
        <f>IFERROR(INDEX(Destinasjoner!$E$5:$E$64,MATCH(A181,Destinasjoner!$A$5:$A$64,0)),"")</f>
        <v/>
      </c>
      <c r="C181" s="21" t="n">
        <v>9</v>
      </c>
      <c r="D181" s="5">
        <f>IF(C181="","",CHOOSE(C181,"jan","feb","mar","apr","mai","jun","jul","aug","sep","okt","nov","des"))</f>
        <v/>
      </c>
      <c r="E181" s="21" t="n">
        <v>2</v>
      </c>
      <c r="F181" s="21" t="n">
        <v>2</v>
      </c>
      <c r="G181" s="21" t="n">
        <v>5</v>
      </c>
      <c r="H181" s="18">
        <f>IF(COUNT(E181:G181)&lt;3,"",ROUND(IF(OR(E181=1,F181=1),MIN('Les meg'!$C$25,E181*'Les meg'!$C$21+F181*'Les meg'!$C$22+G181*'Les meg'!$C$23),E181*'Les meg'!$C$21+F181*'Les meg'!$C$22+G181*'Les meg'!$C$23),1))</f>
        <v/>
      </c>
      <c r="I181" s="21" t="n">
        <v>31.7</v>
      </c>
      <c r="J181" s="21" t="n">
        <v>172</v>
      </c>
      <c r="K181" s="21" t="inlineStr">
        <is>
          <t>Monsun og tyfonrisiko.</t>
        </is>
      </c>
    </row>
    <row r="182">
      <c r="A182" s="21" t="inlineStr">
        <is>
          <t>PHL</t>
        </is>
      </c>
      <c r="B182" s="5">
        <f>IFERROR(INDEX(Destinasjoner!$E$5:$E$64,MATCH(A182,Destinasjoner!$A$5:$A$64,0)),"")</f>
        <v/>
      </c>
      <c r="C182" s="21" t="n">
        <v>10</v>
      </c>
      <c r="D182" s="5">
        <f>IF(C182="","",CHOOSE(C182,"jan","feb","mar","apr","mai","jun","jul","aug","sep","okt","nov","des"))</f>
        <v/>
      </c>
      <c r="E182" s="21" t="n">
        <v>2</v>
      </c>
      <c r="F182" s="21" t="n">
        <v>3</v>
      </c>
      <c r="G182" s="21" t="n">
        <v>5</v>
      </c>
      <c r="H182" s="18">
        <f>IF(COUNT(E182:G182)&lt;3,"",ROUND(IF(OR(E182=1,F182=1),MIN('Les meg'!$C$25,E182*'Les meg'!$C$21+F182*'Les meg'!$C$22+G182*'Les meg'!$C$23),E182*'Les meg'!$C$21+F182*'Les meg'!$C$22+G182*'Les meg'!$C$23),1))</f>
        <v/>
      </c>
      <c r="I182" s="21" t="n">
        <v>31.6</v>
      </c>
      <c r="J182" s="21" t="n">
        <v>213</v>
      </c>
      <c r="K182" s="21" t="inlineStr">
        <is>
          <t>Tyfonrisiko.</t>
        </is>
      </c>
    </row>
    <row r="183">
      <c r="A183" s="21" t="inlineStr">
        <is>
          <t>PHL</t>
        </is>
      </c>
      <c r="B183" s="5">
        <f>IFERROR(INDEX(Destinasjoner!$E$5:$E$64,MATCH(A183,Destinasjoner!$A$5:$A$64,0)),"")</f>
        <v/>
      </c>
      <c r="C183" s="21" t="n">
        <v>11</v>
      </c>
      <c r="D183" s="5">
        <f>IF(C183="","",CHOOSE(C183,"jan","feb","mar","apr","mai","jun","jul","aug","sep","okt","nov","des"))</f>
        <v/>
      </c>
      <c r="E183" s="21" t="n">
        <v>3</v>
      </c>
      <c r="F183" s="21" t="n">
        <v>3</v>
      </c>
      <c r="G183" s="21" t="n">
        <v>4</v>
      </c>
      <c r="H183" s="18">
        <f>IF(COUNT(E183:G183)&lt;3,"",ROUND(IF(OR(E183=1,F183=1),MIN('Les meg'!$C$25,E183*'Les meg'!$C$21+F183*'Les meg'!$C$22+G183*'Les meg'!$C$23),E183*'Les meg'!$C$21+F183*'Les meg'!$C$22+G183*'Les meg'!$C$23),1))</f>
        <v/>
      </c>
      <c r="I183" s="21" t="n">
        <v>31.4</v>
      </c>
      <c r="J183" s="21" t="n">
        <v>196</v>
      </c>
      <c r="K183" s="21" t="inlineStr">
        <is>
          <t>Overgang, fortsatt tyfonrisiko.</t>
        </is>
      </c>
    </row>
    <row r="184">
      <c r="A184" s="21" t="inlineStr">
        <is>
          <t>PHL</t>
        </is>
      </c>
      <c r="B184" s="5">
        <f>IFERROR(INDEX(Destinasjoner!$E$5:$E$64,MATCH(A184,Destinasjoner!$A$5:$A$64,0)),"")</f>
        <v/>
      </c>
      <c r="C184" s="21" t="n">
        <v>12</v>
      </c>
      <c r="D184" s="5">
        <f>IF(C184="","",CHOOSE(C184,"jan","feb","mar","apr","mai","jun","jul","aug","sep","okt","nov","des"))</f>
        <v/>
      </c>
      <c r="E184" s="21" t="n">
        <v>4</v>
      </c>
      <c r="F184" s="21" t="n">
        <v>4</v>
      </c>
      <c r="G184" s="21" t="n">
        <v>2</v>
      </c>
      <c r="H184" s="18">
        <f>IF(COUNT(E184:G184)&lt;3,"",ROUND(IF(OR(E184=1,F184=1),MIN('Les meg'!$C$25,E184*'Les meg'!$C$21+F184*'Les meg'!$C$22+G184*'Les meg'!$C$23),E184*'Les meg'!$C$21+F184*'Les meg'!$C$22+G184*'Les meg'!$C$23),1))</f>
        <v/>
      </c>
      <c r="I184" s="21" t="n">
        <v>31</v>
      </c>
      <c r="J184" s="21" t="n">
        <v>175</v>
      </c>
      <c r="K184" s="21" t="inlineStr">
        <is>
          <t>Tørrere. Jul = innenlands høysesong.</t>
        </is>
      </c>
    </row>
    <row r="185">
      <c r="A185" s="21" t="inlineStr">
        <is>
          <t>PNG</t>
        </is>
      </c>
      <c r="B185" s="5">
        <f>IFERROR(INDEX(Destinasjoner!$E$5:$E$64,MATCH(A185,Destinasjoner!$A$5:$A$64,0)),"")</f>
        <v/>
      </c>
      <c r="C185" s="21" t="n">
        <v>1</v>
      </c>
      <c r="D185" s="5">
        <f>IF(C185="","",CHOOSE(C185,"jan","feb","mar","apr","mai","jun","jul","aug","sep","okt","nov","des"))</f>
        <v/>
      </c>
      <c r="E185" s="21" t="n">
        <v>2</v>
      </c>
      <c r="F185" s="21" t="n">
        <v>2</v>
      </c>
      <c r="G185" s="21" t="n">
        <v>5</v>
      </c>
      <c r="H185" s="18">
        <f>IF(COUNT(E185:G185)&lt;3,"",ROUND(IF(OR(E185=1,F185=1),MIN('Les meg'!$C$25,E185*'Les meg'!$C$21+F185*'Les meg'!$C$22+G185*'Les meg'!$C$23),E185*'Les meg'!$C$21+F185*'Les meg'!$C$22+G185*'Les meg'!$C$23),1))</f>
        <v/>
      </c>
      <c r="I185" s="21" t="n">
        <v>32.1</v>
      </c>
      <c r="J185" s="21" t="n">
        <v>192</v>
      </c>
      <c r="K185" s="21" t="inlineStr">
        <is>
          <t>Regntid, fuktig.</t>
        </is>
      </c>
    </row>
    <row r="186">
      <c r="A186" s="21" t="inlineStr">
        <is>
          <t>PNG</t>
        </is>
      </c>
      <c r="B186" s="5">
        <f>IFERROR(INDEX(Destinasjoner!$E$5:$E$64,MATCH(A186,Destinasjoner!$A$5:$A$64,0)),"")</f>
        <v/>
      </c>
      <c r="C186" s="21" t="n">
        <v>2</v>
      </c>
      <c r="D186" s="5">
        <f>IF(C186="","",CHOOSE(C186,"jan","feb","mar","apr","mai","jun","jul","aug","sep","okt","nov","des"))</f>
        <v/>
      </c>
      <c r="E186" s="21" t="n">
        <v>2</v>
      </c>
      <c r="F186" s="21" t="n">
        <v>2</v>
      </c>
      <c r="G186" s="21" t="n">
        <v>5</v>
      </c>
      <c r="H186" s="18">
        <f>IF(COUNT(E186:G186)&lt;3,"",ROUND(IF(OR(E186=1,F186=1),MIN('Les meg'!$C$25,E186*'Les meg'!$C$21+F186*'Les meg'!$C$22+G186*'Les meg'!$C$23),E186*'Les meg'!$C$21+F186*'Les meg'!$C$22+G186*'Les meg'!$C$23),1))</f>
        <v/>
      </c>
      <c r="I186" s="21" t="n">
        <v>31.6</v>
      </c>
      <c r="J186" s="21" t="n">
        <v>141</v>
      </c>
      <c r="K186" s="21" t="inlineStr">
        <is>
          <t>Regntid.</t>
        </is>
      </c>
    </row>
    <row r="187">
      <c r="A187" s="21" t="inlineStr">
        <is>
          <t>PNG</t>
        </is>
      </c>
      <c r="B187" s="5">
        <f>IFERROR(INDEX(Destinasjoner!$E$5:$E$64,MATCH(A187,Destinasjoner!$A$5:$A$64,0)),"")</f>
        <v/>
      </c>
      <c r="C187" s="21" t="n">
        <v>3</v>
      </c>
      <c r="D187" s="5">
        <f>IF(C187="","",CHOOSE(C187,"jan","feb","mar","apr","mai","jun","jul","aug","sep","okt","nov","des"))</f>
        <v/>
      </c>
      <c r="E187" s="21" t="n">
        <v>2</v>
      </c>
      <c r="F187" s="21" t="n">
        <v>2</v>
      </c>
      <c r="G187" s="21" t="n">
        <v>5</v>
      </c>
      <c r="H187" s="18">
        <f>IF(COUNT(E187:G187)&lt;3,"",ROUND(IF(OR(E187=1,F187=1),MIN('Les meg'!$C$25,E187*'Les meg'!$C$21+F187*'Les meg'!$C$22+G187*'Les meg'!$C$23),E187*'Les meg'!$C$21+F187*'Les meg'!$C$22+G187*'Les meg'!$C$23),1))</f>
        <v/>
      </c>
      <c r="I187" s="21" t="n">
        <v>31.4</v>
      </c>
      <c r="J187" s="21" t="n">
        <v>190</v>
      </c>
      <c r="K187" s="21" t="inlineStr">
        <is>
          <t>Regntid.</t>
        </is>
      </c>
    </row>
    <row r="188">
      <c r="A188" s="21" t="inlineStr">
        <is>
          <t>PNG</t>
        </is>
      </c>
      <c r="B188" s="5">
        <f>IFERROR(INDEX(Destinasjoner!$E$5:$E$64,MATCH(A188,Destinasjoner!$A$5:$A$64,0)),"")</f>
        <v/>
      </c>
      <c r="C188" s="21" t="n">
        <v>4</v>
      </c>
      <c r="D188" s="5">
        <f>IF(C188="","",CHOOSE(C188,"jan","feb","mar","apr","mai","jun","jul","aug","sep","okt","nov","des"))</f>
        <v/>
      </c>
      <c r="E188" s="21" t="n">
        <v>3</v>
      </c>
      <c r="F188" s="21" t="n">
        <v>3</v>
      </c>
      <c r="G188" s="21" t="n">
        <v>4</v>
      </c>
      <c r="H188" s="18">
        <f>IF(COUNT(E188:G188)&lt;3,"",ROUND(IF(OR(E188=1,F188=1),MIN('Les meg'!$C$25,E188*'Les meg'!$C$21+F188*'Les meg'!$C$22+G188*'Les meg'!$C$23),E188*'Les meg'!$C$21+F188*'Les meg'!$C$22+G188*'Les meg'!$C$23),1))</f>
        <v/>
      </c>
      <c r="I188" s="21" t="n">
        <v>31.3</v>
      </c>
      <c r="J188" s="21" t="n">
        <v>105</v>
      </c>
      <c r="K188" s="21" t="inlineStr">
        <is>
          <t>Overgang.</t>
        </is>
      </c>
    </row>
    <row r="189">
      <c r="A189" s="21" t="inlineStr">
        <is>
          <t>PNG</t>
        </is>
      </c>
      <c r="B189" s="5">
        <f>IFERROR(INDEX(Destinasjoner!$E$5:$E$64,MATCH(A189,Destinasjoner!$A$5:$A$64,0)),"")</f>
        <v/>
      </c>
      <c r="C189" s="21" t="n">
        <v>5</v>
      </c>
      <c r="D189" s="5">
        <f>IF(C189="","",CHOOSE(C189,"jan","feb","mar","apr","mai","jun","jul","aug","sep","okt","nov","des"))</f>
        <v/>
      </c>
      <c r="E189" s="21" t="n">
        <v>4</v>
      </c>
      <c r="F189" s="21" t="n">
        <v>3</v>
      </c>
      <c r="G189" s="21" t="n">
        <v>4</v>
      </c>
      <c r="H189" s="18">
        <f>IF(COUNT(E189:G189)&lt;3,"",ROUND(IF(OR(E189=1,F189=1),MIN('Les meg'!$C$25,E189*'Les meg'!$C$21+F189*'Les meg'!$C$22+G189*'Les meg'!$C$23),E189*'Les meg'!$C$21+F189*'Les meg'!$C$22+G189*'Les meg'!$C$23),1))</f>
        <v/>
      </c>
      <c r="I189" s="21" t="n">
        <v>31</v>
      </c>
      <c r="J189" s="21" t="n">
        <v>56</v>
      </c>
      <c r="K189" s="21" t="inlineStr">
        <is>
          <t>Tørrsesongen starter.</t>
        </is>
      </c>
    </row>
    <row r="190">
      <c r="A190" s="21" t="inlineStr">
        <is>
          <t>PNG</t>
        </is>
      </c>
      <c r="B190" s="5">
        <f>IFERROR(INDEX(Destinasjoner!$E$5:$E$64,MATCH(A190,Destinasjoner!$A$5:$A$64,0)),"")</f>
        <v/>
      </c>
      <c r="C190" s="21" t="n">
        <v>6</v>
      </c>
      <c r="D190" s="5">
        <f>IF(C190="","",CHOOSE(C190,"jan","feb","mar","apr","mai","jun","jul","aug","sep","okt","nov","des"))</f>
        <v/>
      </c>
      <c r="E190" s="21" t="n">
        <v>4</v>
      </c>
      <c r="F190" s="21" t="n">
        <v>4</v>
      </c>
      <c r="G190" s="21" t="n">
        <v>4</v>
      </c>
      <c r="H190" s="18">
        <f>IF(COUNT(E190:G190)&lt;3,"",ROUND(IF(OR(E190=1,F190=1),MIN('Les meg'!$C$25,E190*'Les meg'!$C$21+F190*'Les meg'!$C$22+G190*'Les meg'!$C$23),E190*'Les meg'!$C$21+F190*'Les meg'!$C$22+G190*'Les meg'!$C$23),1))</f>
        <v/>
      </c>
      <c r="I190" s="21" t="n">
        <v>30.3</v>
      </c>
      <c r="J190" s="21" t="n">
        <v>22</v>
      </c>
      <c r="K190" s="21" t="inlineStr">
        <is>
          <t>Tørt, behagelig.</t>
        </is>
      </c>
    </row>
    <row r="191">
      <c r="A191" s="21" t="inlineStr">
        <is>
          <t>PNG</t>
        </is>
      </c>
      <c r="B191" s="5">
        <f>IFERROR(INDEX(Destinasjoner!$E$5:$E$64,MATCH(A191,Destinasjoner!$A$5:$A$64,0)),"")</f>
        <v/>
      </c>
      <c r="C191" s="21" t="n">
        <v>7</v>
      </c>
      <c r="D191" s="5">
        <f>IF(C191="","",CHOOSE(C191,"jan","feb","mar","apr","mai","jun","jul","aug","sep","okt","nov","des"))</f>
        <v/>
      </c>
      <c r="E191" s="21" t="n">
        <v>5</v>
      </c>
      <c r="F191" s="21" t="n">
        <v>4</v>
      </c>
      <c r="G191" s="21" t="n">
        <v>3</v>
      </c>
      <c r="H191" s="18">
        <f>IF(COUNT(E191:G191)&lt;3,"",ROUND(IF(OR(E191=1,F191=1),MIN('Les meg'!$C$25,E191*'Les meg'!$C$21+F191*'Les meg'!$C$22+G191*'Les meg'!$C$23),E191*'Les meg'!$C$21+F191*'Les meg'!$C$22+G191*'Les meg'!$C$23),1))</f>
        <v/>
      </c>
      <c r="I191" s="21" t="n">
        <v>29.9</v>
      </c>
      <c r="J191" s="21" t="n">
        <v>14</v>
      </c>
      <c r="K191" s="21" t="inlineStr">
        <is>
          <t>Tørt; god dykking.</t>
        </is>
      </c>
    </row>
    <row r="192">
      <c r="A192" s="21" t="inlineStr">
        <is>
          <t>PNG</t>
        </is>
      </c>
      <c r="B192" s="5">
        <f>IFERROR(INDEX(Destinasjoner!$E$5:$E$64,MATCH(A192,Destinasjoner!$A$5:$A$64,0)),"")</f>
        <v/>
      </c>
      <c r="C192" s="21" t="n">
        <v>8</v>
      </c>
      <c r="D192" s="5">
        <f>IF(C192="","",CHOOSE(C192,"jan","feb","mar","apr","mai","jun","jul","aug","sep","okt","nov","des"))</f>
        <v/>
      </c>
      <c r="E192" s="21" t="n">
        <v>5</v>
      </c>
      <c r="F192" s="21" t="n">
        <v>5</v>
      </c>
      <c r="G192" s="21" t="n">
        <v>2</v>
      </c>
      <c r="H192" s="18">
        <f>IF(COUNT(E192:G192)&lt;3,"",ROUND(IF(OR(E192=1,F192=1),MIN('Les meg'!$C$25,E192*'Les meg'!$C$21+F192*'Les meg'!$C$22+G192*'Les meg'!$C$23),E192*'Les meg'!$C$21+F192*'Les meg'!$C$22+G192*'Les meg'!$C$23),1))</f>
        <v/>
      </c>
      <c r="I192" s="21" t="n">
        <v>30.3</v>
      </c>
      <c r="J192" s="21" t="n">
        <v>12</v>
      </c>
      <c r="K192" s="21" t="inlineStr">
        <is>
          <t>Mount Hagen Show (se Vinduer).</t>
        </is>
      </c>
    </row>
    <row r="193">
      <c r="A193" s="21" t="inlineStr">
        <is>
          <t>PNG</t>
        </is>
      </c>
      <c r="B193" s="5">
        <f>IFERROR(INDEX(Destinasjoner!$E$5:$E$64,MATCH(A193,Destinasjoner!$A$5:$A$64,0)),"")</f>
        <v/>
      </c>
      <c r="C193" s="21" t="n">
        <v>9</v>
      </c>
      <c r="D193" s="5">
        <f>IF(C193="","",CHOOSE(C193,"jan","feb","mar","apr","mai","jun","jul","aug","sep","okt","nov","des"))</f>
        <v/>
      </c>
      <c r="E193" s="21" t="n">
        <v>5</v>
      </c>
      <c r="F193" s="21" t="n">
        <v>5</v>
      </c>
      <c r="G193" s="21" t="n">
        <v>2</v>
      </c>
      <c r="H193" s="18">
        <f>IF(COUNT(E193:G193)&lt;3,"",ROUND(IF(OR(E193=1,F193=1),MIN('Les meg'!$C$25,E193*'Les meg'!$C$21+F193*'Les meg'!$C$22+G193*'Les meg'!$C$23),E193*'Les meg'!$C$21+F193*'Les meg'!$C$22+G193*'Les meg'!$C$23),1))</f>
        <v/>
      </c>
      <c r="I193" s="21" t="n">
        <v>31</v>
      </c>
      <c r="J193" s="21" t="n">
        <v>14</v>
      </c>
      <c r="K193" s="21" t="inlineStr">
        <is>
          <t>Goroka Show rundt uavhengighetsdagen 16.9 (se Vinduer).</t>
        </is>
      </c>
    </row>
    <row r="194">
      <c r="A194" s="21" t="inlineStr">
        <is>
          <t>PNG</t>
        </is>
      </c>
      <c r="B194" s="5">
        <f>IFERROR(INDEX(Destinasjoner!$E$5:$E$64,MATCH(A194,Destinasjoner!$A$5:$A$64,0)),"")</f>
        <v/>
      </c>
      <c r="C194" s="21" t="n">
        <v>10</v>
      </c>
      <c r="D194" s="5">
        <f>IF(C194="","",CHOOSE(C194,"jan","feb","mar","apr","mai","jun","jul","aug","sep","okt","nov","des"))</f>
        <v/>
      </c>
      <c r="E194" s="21" t="n">
        <v>4</v>
      </c>
      <c r="F194" s="21" t="n">
        <v>4</v>
      </c>
      <c r="G194" s="21" t="n">
        <v>4</v>
      </c>
      <c r="H194" s="18">
        <f>IF(COUNT(E194:G194)&lt;3,"",ROUND(IF(OR(E194=1,F194=1),MIN('Les meg'!$C$25,E194*'Les meg'!$C$21+F194*'Les meg'!$C$22+G194*'Les meg'!$C$23),E194*'Les meg'!$C$21+F194*'Les meg'!$C$22+G194*'Les meg'!$C$23),1))</f>
        <v/>
      </c>
      <c r="I194" s="21" t="n">
        <v>32</v>
      </c>
      <c r="J194" s="21" t="n">
        <v>15</v>
      </c>
      <c r="K194" s="21" t="inlineStr">
        <is>
          <t>Tørt og varmt, god dykking.</t>
        </is>
      </c>
    </row>
    <row r="195">
      <c r="A195" s="21" t="inlineStr">
        <is>
          <t>PNG</t>
        </is>
      </c>
      <c r="B195" s="5">
        <f>IFERROR(INDEX(Destinasjoner!$E$5:$E$64,MATCH(A195,Destinasjoner!$A$5:$A$64,0)),"")</f>
        <v/>
      </c>
      <c r="C195" s="21" t="n">
        <v>11</v>
      </c>
      <c r="D195" s="5">
        <f>IF(C195="","",CHOOSE(C195,"jan","feb","mar","apr","mai","jun","jul","aug","sep","okt","nov","des"))</f>
        <v/>
      </c>
      <c r="E195" s="21" t="n">
        <v>3</v>
      </c>
      <c r="F195" s="21" t="n">
        <v>3</v>
      </c>
      <c r="G195" s="21" t="n">
        <v>4</v>
      </c>
      <c r="H195" s="18">
        <f>IF(COUNT(E195:G195)&lt;3,"",ROUND(IF(OR(E195=1,F195=1),MIN('Les meg'!$C$25,E195*'Les meg'!$C$21+F195*'Les meg'!$C$22+G195*'Les meg'!$C$23),E195*'Les meg'!$C$21+F195*'Les meg'!$C$22+G195*'Les meg'!$C$23),1))</f>
        <v/>
      </c>
      <c r="I195" s="21" t="n">
        <v>32.5</v>
      </c>
      <c r="J195" s="21" t="n">
        <v>40</v>
      </c>
      <c r="K195" s="21" t="inlineStr">
        <is>
          <t>Regntiden starter.</t>
        </is>
      </c>
    </row>
    <row r="196">
      <c r="A196" s="21" t="inlineStr">
        <is>
          <t>PNG</t>
        </is>
      </c>
      <c r="B196" s="5">
        <f>IFERROR(INDEX(Destinasjoner!$E$5:$E$64,MATCH(A196,Destinasjoner!$A$5:$A$64,0)),"")</f>
        <v/>
      </c>
      <c r="C196" s="21" t="n">
        <v>12</v>
      </c>
      <c r="D196" s="5">
        <f>IF(C196="","",CHOOSE(C196,"jan","feb","mar","apr","mai","jun","jul","aug","sep","okt","nov","des"))</f>
        <v/>
      </c>
      <c r="E196" s="21" t="n">
        <v>2</v>
      </c>
      <c r="F196" s="21" t="n">
        <v>2</v>
      </c>
      <c r="G196" s="21" t="n">
        <v>5</v>
      </c>
      <c r="H196" s="18">
        <f>IF(COUNT(E196:G196)&lt;3,"",ROUND(IF(OR(E196=1,F196=1),MIN('Les meg'!$C$25,E196*'Les meg'!$C$21+F196*'Les meg'!$C$22+G196*'Les meg'!$C$23),E196*'Les meg'!$C$21+F196*'Les meg'!$C$22+G196*'Les meg'!$C$23),1))</f>
        <v/>
      </c>
      <c r="I196" s="21" t="n">
        <v>32.4</v>
      </c>
      <c r="J196" s="21" t="n">
        <v>98</v>
      </c>
      <c r="K196" s="21" t="inlineStr">
        <is>
          <t>Regntid.</t>
        </is>
      </c>
    </row>
    <row r="197">
      <c r="A197" s="21" t="inlineStr">
        <is>
          <t>TLS</t>
        </is>
      </c>
      <c r="B197" s="5">
        <f>IFERROR(INDEX(Destinasjoner!$E$5:$E$64,MATCH(A197,Destinasjoner!$A$5:$A$64,0)),"")</f>
        <v/>
      </c>
      <c r="C197" s="21" t="n">
        <v>1</v>
      </c>
      <c r="D197" s="5">
        <f>IF(C197="","",CHOOSE(C197,"jan","feb","mar","apr","mai","jun","jul","aug","sep","okt","nov","des"))</f>
        <v/>
      </c>
      <c r="E197" s="21" t="n">
        <v>2</v>
      </c>
      <c r="F197" s="21" t="n">
        <v>2</v>
      </c>
      <c r="G197" s="21" t="n">
        <v>5</v>
      </c>
      <c r="H197" s="18">
        <f>IF(COUNT(E197:G197)&lt;3,"",ROUND(IF(OR(E197=1,F197=1),MIN('Les meg'!$C$25,E197*'Les meg'!$C$21+F197*'Les meg'!$C$22+G197*'Les meg'!$C$23),E197*'Les meg'!$C$21+F197*'Les meg'!$C$22+G197*'Les meg'!$C$23),1))</f>
        <v/>
      </c>
      <c r="I197" s="21" t="n">
        <v>31.3</v>
      </c>
      <c r="J197" s="21" t="n">
        <v>140</v>
      </c>
      <c r="K197" s="21" t="inlineStr">
        <is>
          <t>Regntid; veier i innlandet vanskelige.</t>
        </is>
      </c>
    </row>
    <row r="198">
      <c r="A198" s="21" t="inlineStr">
        <is>
          <t>TLS</t>
        </is>
      </c>
      <c r="B198" s="5">
        <f>IFERROR(INDEX(Destinasjoner!$E$5:$E$64,MATCH(A198,Destinasjoner!$A$5:$A$64,0)),"")</f>
        <v/>
      </c>
      <c r="C198" s="21" t="n">
        <v>2</v>
      </c>
      <c r="D198" s="5">
        <f>IF(C198="","",CHOOSE(C198,"jan","feb","mar","apr","mai","jun","jul","aug","sep","okt","nov","des"))</f>
        <v/>
      </c>
      <c r="E198" s="21" t="n">
        <v>2</v>
      </c>
      <c r="F198" s="21" t="n">
        <v>2</v>
      </c>
      <c r="G198" s="21" t="n">
        <v>5</v>
      </c>
      <c r="H198" s="18">
        <f>IF(COUNT(E198:G198)&lt;3,"",ROUND(IF(OR(E198=1,F198=1),MIN('Les meg'!$C$25,E198*'Les meg'!$C$21+F198*'Les meg'!$C$22+G198*'Les meg'!$C$23),E198*'Les meg'!$C$21+F198*'Les meg'!$C$22+G198*'Les meg'!$C$23),1))</f>
        <v/>
      </c>
      <c r="I198" s="21" t="n">
        <v>31.1</v>
      </c>
      <c r="J198" s="21" t="n">
        <v>139</v>
      </c>
      <c r="K198" s="21" t="inlineStr">
        <is>
          <t>Regntid.</t>
        </is>
      </c>
    </row>
    <row r="199">
      <c r="A199" s="21" t="inlineStr">
        <is>
          <t>TLS</t>
        </is>
      </c>
      <c r="B199" s="5">
        <f>IFERROR(INDEX(Destinasjoner!$E$5:$E$64,MATCH(A199,Destinasjoner!$A$5:$A$64,0)),"")</f>
        <v/>
      </c>
      <c r="C199" s="21" t="n">
        <v>3</v>
      </c>
      <c r="D199" s="5">
        <f>IF(C199="","",CHOOSE(C199,"jan","feb","mar","apr","mai","jun","jul","aug","sep","okt","nov","des"))</f>
        <v/>
      </c>
      <c r="E199" s="21" t="n">
        <v>2</v>
      </c>
      <c r="F199" s="21" t="n">
        <v>2</v>
      </c>
      <c r="G199" s="21" t="n">
        <v>5</v>
      </c>
      <c r="H199" s="18">
        <f>IF(COUNT(E199:G199)&lt;3,"",ROUND(IF(OR(E199=1,F199=1),MIN('Les meg'!$C$25,E199*'Les meg'!$C$21+F199*'Les meg'!$C$22+G199*'Les meg'!$C$23),E199*'Les meg'!$C$21+F199*'Les meg'!$C$22+G199*'Les meg'!$C$23),1))</f>
        <v/>
      </c>
      <c r="I199" s="21" t="n">
        <v>31.2</v>
      </c>
      <c r="J199" s="21" t="n">
        <v>133</v>
      </c>
      <c r="K199" s="21" t="inlineStr">
        <is>
          <t>Regntid.</t>
        </is>
      </c>
    </row>
    <row r="200">
      <c r="A200" s="21" t="inlineStr">
        <is>
          <t>TLS</t>
        </is>
      </c>
      <c r="B200" s="5">
        <f>IFERROR(INDEX(Destinasjoner!$E$5:$E$64,MATCH(A200,Destinasjoner!$A$5:$A$64,0)),"")</f>
        <v/>
      </c>
      <c r="C200" s="21" t="n">
        <v>4</v>
      </c>
      <c r="D200" s="5">
        <f>IF(C200="","",CHOOSE(C200,"jan","feb","mar","apr","mai","jun","jul","aug","sep","okt","nov","des"))</f>
        <v/>
      </c>
      <c r="E200" s="21" t="n">
        <v>3</v>
      </c>
      <c r="F200" s="21" t="n">
        <v>3</v>
      </c>
      <c r="G200" s="21" t="n">
        <v>4</v>
      </c>
      <c r="H200" s="18">
        <f>IF(COUNT(E200:G200)&lt;3,"",ROUND(IF(OR(E200=1,F200=1),MIN('Les meg'!$C$25,E200*'Les meg'!$C$21+F200*'Les meg'!$C$22+G200*'Les meg'!$C$23),E200*'Les meg'!$C$21+F200*'Les meg'!$C$22+G200*'Les meg'!$C$23),1))</f>
        <v/>
      </c>
      <c r="I200" s="21" t="n">
        <v>31.5</v>
      </c>
      <c r="J200" s="21" t="n">
        <v>104</v>
      </c>
      <c r="K200" s="21" t="inlineStr">
        <is>
          <t>Overgang.</t>
        </is>
      </c>
    </row>
    <row r="201">
      <c r="A201" s="21" t="inlineStr">
        <is>
          <t>TLS</t>
        </is>
      </c>
      <c r="B201" s="5">
        <f>IFERROR(INDEX(Destinasjoner!$E$5:$E$64,MATCH(A201,Destinasjoner!$A$5:$A$64,0)),"")</f>
        <v/>
      </c>
      <c r="C201" s="21" t="n">
        <v>5</v>
      </c>
      <c r="D201" s="5">
        <f>IF(C201="","",CHOOSE(C201,"jan","feb","mar","apr","mai","jun","jul","aug","sep","okt","nov","des"))</f>
        <v/>
      </c>
      <c r="E201" s="21" t="n">
        <v>4</v>
      </c>
      <c r="F201" s="21" t="n">
        <v>4</v>
      </c>
      <c r="G201" s="21" t="n">
        <v>4</v>
      </c>
      <c r="H201" s="18">
        <f>IF(COUNT(E201:G201)&lt;3,"",ROUND(IF(OR(E201=1,F201=1),MIN('Les meg'!$C$25,E201*'Les meg'!$C$21+F201*'Les meg'!$C$22+G201*'Les meg'!$C$23),E201*'Les meg'!$C$21+F201*'Les meg'!$C$22+G201*'Les meg'!$C$23),1))</f>
        <v/>
      </c>
      <c r="I201" s="21" t="n">
        <v>31.3</v>
      </c>
      <c r="J201" s="21" t="n">
        <v>75</v>
      </c>
      <c r="K201" s="21" t="inlineStr">
        <is>
          <t>Tørrsesong, grønt.</t>
        </is>
      </c>
    </row>
    <row r="202">
      <c r="A202" s="21" t="inlineStr">
        <is>
          <t>TLS</t>
        </is>
      </c>
      <c r="B202" s="5">
        <f>IFERROR(INDEX(Destinasjoner!$E$5:$E$64,MATCH(A202,Destinasjoner!$A$5:$A$64,0)),"")</f>
        <v/>
      </c>
      <c r="C202" s="21" t="n">
        <v>6</v>
      </c>
      <c r="D202" s="5">
        <f>IF(C202="","",CHOOSE(C202,"jan","feb","mar","apr","mai","jun","jul","aug","sep","okt","nov","des"))</f>
        <v/>
      </c>
      <c r="E202" s="21" t="n">
        <v>4</v>
      </c>
      <c r="F202" s="21" t="n">
        <v>4</v>
      </c>
      <c r="G202" s="21" t="n">
        <v>4</v>
      </c>
      <c r="H202" s="18">
        <f>IF(COUNT(E202:G202)&lt;3,"",ROUND(IF(OR(E202=1,F202=1),MIN('Les meg'!$C$25,E202*'Les meg'!$C$21+F202*'Les meg'!$C$22+G202*'Les meg'!$C$23),E202*'Les meg'!$C$21+F202*'Les meg'!$C$22+G202*'Les meg'!$C$23),1))</f>
        <v/>
      </c>
      <c r="I202" s="21" t="n">
        <v>30.7</v>
      </c>
      <c r="J202" s="21" t="n">
        <v>58</v>
      </c>
      <c r="K202" s="21" t="inlineStr">
        <is>
          <t>Tørt.</t>
        </is>
      </c>
    </row>
    <row r="203">
      <c r="A203" s="21" t="inlineStr">
        <is>
          <t>TLS</t>
        </is>
      </c>
      <c r="B203" s="5">
        <f>IFERROR(INDEX(Destinasjoner!$E$5:$E$64,MATCH(A203,Destinasjoner!$A$5:$A$64,0)),"")</f>
        <v/>
      </c>
      <c r="C203" s="21" t="n">
        <v>7</v>
      </c>
      <c r="D203" s="5">
        <f>IF(C203="","",CHOOSE(C203,"jan","feb","mar","apr","mai","jun","jul","aug","sep","okt","nov","des"))</f>
        <v/>
      </c>
      <c r="E203" s="21" t="n">
        <v>5</v>
      </c>
      <c r="F203" s="21" t="n">
        <v>4</v>
      </c>
      <c r="G203" s="21" t="n">
        <v>4</v>
      </c>
      <c r="H203" s="18">
        <f>IF(COUNT(E203:G203)&lt;3,"",ROUND(IF(OR(E203=1,F203=1),MIN('Les meg'!$C$25,E203*'Les meg'!$C$21+F203*'Les meg'!$C$22+G203*'Les meg'!$C$23),E203*'Les meg'!$C$21+F203*'Les meg'!$C$22+G203*'Les meg'!$C$23),1))</f>
        <v/>
      </c>
      <c r="I203" s="21" t="n">
        <v>30.2</v>
      </c>
      <c r="J203" s="21" t="n">
        <v>20</v>
      </c>
      <c r="K203" s="21" t="inlineStr">
        <is>
          <t>Tørt og klart; god dykking ved Atauro.</t>
        </is>
      </c>
    </row>
    <row r="204">
      <c r="A204" s="21" t="inlineStr">
        <is>
          <t>TLS</t>
        </is>
      </c>
      <c r="B204" s="5">
        <f>IFERROR(INDEX(Destinasjoner!$E$5:$E$64,MATCH(A204,Destinasjoner!$A$5:$A$64,0)),"")</f>
        <v/>
      </c>
      <c r="C204" s="21" t="n">
        <v>8</v>
      </c>
      <c r="D204" s="5">
        <f>IF(C204="","",CHOOSE(C204,"jan","feb","mar","apr","mai","jun","jul","aug","sep","okt","nov","des"))</f>
        <v/>
      </c>
      <c r="E204" s="21" t="n">
        <v>5</v>
      </c>
      <c r="F204" s="21" t="n">
        <v>4</v>
      </c>
      <c r="G204" s="21" t="n">
        <v>4</v>
      </c>
      <c r="H204" s="18">
        <f>IF(COUNT(E204:G204)&lt;3,"",ROUND(IF(OR(E204=1,F204=1),MIN('Les meg'!$C$25,E204*'Les meg'!$C$21+F204*'Les meg'!$C$22+G204*'Les meg'!$C$23),E204*'Les meg'!$C$21+F204*'Les meg'!$C$22+G204*'Les meg'!$C$23),1))</f>
        <v/>
      </c>
      <c r="I204" s="21" t="n">
        <v>30.1</v>
      </c>
      <c r="J204" s="21" t="n">
        <v>12</v>
      </c>
      <c r="K204" s="21" t="inlineStr">
        <is>
          <t>Tørt.</t>
        </is>
      </c>
    </row>
    <row r="205">
      <c r="A205" s="21" t="inlineStr">
        <is>
          <t>TLS</t>
        </is>
      </c>
      <c r="B205" s="5">
        <f>IFERROR(INDEX(Destinasjoner!$E$5:$E$64,MATCH(A205,Destinasjoner!$A$5:$A$64,0)),"")</f>
        <v/>
      </c>
      <c r="C205" s="21" t="n">
        <v>9</v>
      </c>
      <c r="D205" s="5">
        <f>IF(C205="","",CHOOSE(C205,"jan","feb","mar","apr","mai","jun","jul","aug","sep","okt","nov","des"))</f>
        <v/>
      </c>
      <c r="E205" s="21" t="n">
        <v>5</v>
      </c>
      <c r="F205" s="21" t="n">
        <v>4</v>
      </c>
      <c r="G205" s="21" t="n">
        <v>4</v>
      </c>
      <c r="H205" s="18">
        <f>IF(COUNT(E205:G205)&lt;3,"",ROUND(IF(OR(E205=1,F205=1),MIN('Les meg'!$C$25,E205*'Les meg'!$C$21+F205*'Les meg'!$C$22+G205*'Les meg'!$C$23),E205*'Les meg'!$C$21+F205*'Les meg'!$C$22+G205*'Les meg'!$C$23),1))</f>
        <v/>
      </c>
      <c r="I205" s="21" t="n">
        <v>30.3</v>
      </c>
      <c r="J205" s="21" t="n">
        <v>9</v>
      </c>
      <c r="K205" s="21" t="inlineStr">
        <is>
          <t>Tørt.</t>
        </is>
      </c>
    </row>
    <row r="206">
      <c r="A206" s="21" t="inlineStr">
        <is>
          <t>TLS</t>
        </is>
      </c>
      <c r="B206" s="5">
        <f>IFERROR(INDEX(Destinasjoner!$E$5:$E$64,MATCH(A206,Destinasjoner!$A$5:$A$64,0)),"")</f>
        <v/>
      </c>
      <c r="C206" s="21" t="n">
        <v>10</v>
      </c>
      <c r="D206" s="5">
        <f>IF(C206="","",CHOOSE(C206,"jan","feb","mar","apr","mai","jun","jul","aug","sep","okt","nov","des"))</f>
        <v/>
      </c>
      <c r="E206" s="21" t="n">
        <v>5</v>
      </c>
      <c r="F206" s="21" t="n">
        <v>5</v>
      </c>
      <c r="G206" s="21" t="n">
        <v>4</v>
      </c>
      <c r="H206" s="18">
        <f>IF(COUNT(E206:G206)&lt;3,"",ROUND(IF(OR(E206=1,F206=1),MIN('Les meg'!$C$25,E206*'Les meg'!$C$21+F206*'Les meg'!$C$22+G206*'Les meg'!$C$23),E206*'Les meg'!$C$21+F206*'Les meg'!$C$22+G206*'Les meg'!$C$23),1))</f>
        <v/>
      </c>
      <c r="I206" s="21" t="n">
        <v>30.5</v>
      </c>
      <c r="J206" s="21" t="n">
        <v>13</v>
      </c>
      <c r="K206" s="21" t="inlineStr">
        <is>
          <t>Tørt; blåhval- og grindhvalvandring.</t>
        </is>
      </c>
    </row>
    <row r="207">
      <c r="A207" s="21" t="inlineStr">
        <is>
          <t>TLS</t>
        </is>
      </c>
      <c r="B207" s="5">
        <f>IFERROR(INDEX(Destinasjoner!$E$5:$E$64,MATCH(A207,Destinasjoner!$A$5:$A$64,0)),"")</f>
        <v/>
      </c>
      <c r="C207" s="21" t="n">
        <v>11</v>
      </c>
      <c r="D207" s="5">
        <f>IF(C207="","",CHOOSE(C207,"jan","feb","mar","apr","mai","jun","jul","aug","sep","okt","nov","des"))</f>
        <v/>
      </c>
      <c r="E207" s="21" t="n">
        <v>3</v>
      </c>
      <c r="F207" s="21" t="n">
        <v>5</v>
      </c>
      <c r="G207" s="21" t="n">
        <v>4</v>
      </c>
      <c r="H207" s="18">
        <f>IF(COUNT(E207:G207)&lt;3,"",ROUND(IF(OR(E207=1,F207=1),MIN('Les meg'!$C$25,E207*'Les meg'!$C$21+F207*'Les meg'!$C$22+G207*'Les meg'!$C$23),E207*'Les meg'!$C$21+F207*'Les meg'!$C$22+G207*'Les meg'!$C$23),1))</f>
        <v/>
      </c>
      <c r="I207" s="21" t="n">
        <v>31.4</v>
      </c>
      <c r="J207" s="21" t="n">
        <v>61</v>
      </c>
      <c r="K207" s="21" t="inlineStr">
        <is>
          <t>Hvalvandring; regnet starter.</t>
        </is>
      </c>
    </row>
    <row r="208">
      <c r="A208" s="21" t="inlineStr">
        <is>
          <t>TLS</t>
        </is>
      </c>
      <c r="B208" s="5">
        <f>IFERROR(INDEX(Destinasjoner!$E$5:$E$64,MATCH(A208,Destinasjoner!$A$5:$A$64,0)),"")</f>
        <v/>
      </c>
      <c r="C208" s="21" t="n">
        <v>12</v>
      </c>
      <c r="D208" s="5">
        <f>IF(C208="","",CHOOSE(C208,"jan","feb","mar","apr","mai","jun","jul","aug","sep","okt","nov","des"))</f>
        <v/>
      </c>
      <c r="E208" s="21" t="n">
        <v>2</v>
      </c>
      <c r="F208" s="21" t="n">
        <v>2</v>
      </c>
      <c r="G208" s="21" t="n">
        <v>5</v>
      </c>
      <c r="H208" s="18">
        <f>IF(COUNT(E208:G208)&lt;3,"",ROUND(IF(OR(E208=1,F208=1),MIN('Les meg'!$C$25,E208*'Les meg'!$C$21+F208*'Les meg'!$C$22+G208*'Les meg'!$C$23),E208*'Les meg'!$C$21+F208*'Les meg'!$C$22+G208*'Les meg'!$C$23),1))</f>
        <v/>
      </c>
      <c r="I208" s="21" t="n">
        <v>31.1</v>
      </c>
      <c r="J208" s="21" t="n">
        <v>145</v>
      </c>
      <c r="K208" s="21" t="inlineStr">
        <is>
          <t>Regntid.</t>
        </is>
      </c>
    </row>
    <row r="209">
      <c r="A209" s="21" t="inlineStr">
        <is>
          <t>LBN</t>
        </is>
      </c>
      <c r="B209" s="5">
        <f>IFERROR(INDEX(Destinasjoner!$E$5:$E$64,MATCH(A209,Destinasjoner!$A$5:$A$64,0)),"")</f>
        <v/>
      </c>
      <c r="C209" s="21" t="n">
        <v>1</v>
      </c>
      <c r="D209" s="5">
        <f>IF(C209="","",CHOOSE(C209,"jan","feb","mar","apr","mai","jun","jul","aug","sep","okt","nov","des"))</f>
        <v/>
      </c>
      <c r="E209" s="21" t="n">
        <v>2</v>
      </c>
      <c r="F209" s="21" t="n">
        <v>3</v>
      </c>
      <c r="G209" s="21" t="n">
        <v>5</v>
      </c>
      <c r="H209" s="18">
        <f>IF(COUNT(E209:G209)&lt;3,"",ROUND(IF(OR(E209=1,F209=1),MIN('Les meg'!$C$25,E209*'Les meg'!$C$21+F209*'Les meg'!$C$22+G209*'Les meg'!$C$23),E209*'Les meg'!$C$21+F209*'Les meg'!$C$22+G209*'Les meg'!$C$23),1))</f>
        <v/>
      </c>
      <c r="I209" s="21" t="n">
        <v>17.4</v>
      </c>
      <c r="J209" s="21" t="n">
        <v>154</v>
      </c>
      <c r="K209" s="21" t="inlineStr">
        <is>
          <t>Regn og kjølig; ski i fjellene.</t>
        </is>
      </c>
    </row>
    <row r="210">
      <c r="A210" s="21" t="inlineStr">
        <is>
          <t>LBN</t>
        </is>
      </c>
      <c r="B210" s="5">
        <f>IFERROR(INDEX(Destinasjoner!$E$5:$E$64,MATCH(A210,Destinasjoner!$A$5:$A$64,0)),"")</f>
        <v/>
      </c>
      <c r="C210" s="21" t="n">
        <v>2</v>
      </c>
      <c r="D210" s="5">
        <f>IF(C210="","",CHOOSE(C210,"jan","feb","mar","apr","mai","jun","jul","aug","sep","okt","nov","des"))</f>
        <v/>
      </c>
      <c r="E210" s="21" t="n">
        <v>2</v>
      </c>
      <c r="F210" s="21" t="n">
        <v>3</v>
      </c>
      <c r="G210" s="21" t="n">
        <v>5</v>
      </c>
      <c r="H210" s="18">
        <f>IF(COUNT(E210:G210)&lt;3,"",ROUND(IF(OR(E210=1,F210=1),MIN('Les meg'!$C$25,E210*'Les meg'!$C$21+F210*'Les meg'!$C$22+G210*'Les meg'!$C$23),E210*'Les meg'!$C$21+F210*'Les meg'!$C$22+G210*'Les meg'!$C$23),1))</f>
        <v/>
      </c>
      <c r="I210" s="21" t="n">
        <v>17.5</v>
      </c>
      <c r="J210" s="21" t="n">
        <v>127</v>
      </c>
      <c r="K210" s="21" t="inlineStr">
        <is>
          <t>Regn; ski.</t>
        </is>
      </c>
    </row>
    <row r="211">
      <c r="A211" s="21" t="inlineStr">
        <is>
          <t>LBN</t>
        </is>
      </c>
      <c r="B211" s="5">
        <f>IFERROR(INDEX(Destinasjoner!$E$5:$E$64,MATCH(A211,Destinasjoner!$A$5:$A$64,0)),"")</f>
        <v/>
      </c>
      <c r="C211" s="21" t="n">
        <v>3</v>
      </c>
      <c r="D211" s="5">
        <f>IF(C211="","",CHOOSE(C211,"jan","feb","mar","apr","mai","jun","jul","aug","sep","okt","nov","des"))</f>
        <v/>
      </c>
      <c r="E211" s="21" t="n">
        <v>3</v>
      </c>
      <c r="F211" s="21" t="n">
        <v>4</v>
      </c>
      <c r="G211" s="21" t="n">
        <v>4</v>
      </c>
      <c r="H211" s="18">
        <f>IF(COUNT(E211:G211)&lt;3,"",ROUND(IF(OR(E211=1,F211=1),MIN('Les meg'!$C$25,E211*'Les meg'!$C$21+F211*'Les meg'!$C$22+G211*'Les meg'!$C$23),E211*'Les meg'!$C$21+F211*'Les meg'!$C$22+G211*'Les meg'!$C$23),1))</f>
        <v/>
      </c>
      <c r="I211" s="21" t="n">
        <v>19.6</v>
      </c>
      <c r="J211" s="21" t="n">
        <v>84</v>
      </c>
      <c r="K211" s="21" t="inlineStr">
        <is>
          <t>Mildere og grønt; ski og by i samme tur.</t>
        </is>
      </c>
    </row>
    <row r="212">
      <c r="A212" s="21" t="inlineStr">
        <is>
          <t>LBN</t>
        </is>
      </c>
      <c r="B212" s="5">
        <f>IFERROR(INDEX(Destinasjoner!$E$5:$E$64,MATCH(A212,Destinasjoner!$A$5:$A$64,0)),"")</f>
        <v/>
      </c>
      <c r="C212" s="21" t="n">
        <v>4</v>
      </c>
      <c r="D212" s="5">
        <f>IF(C212="","",CHOOSE(C212,"jan","feb","mar","apr","mai","jun","jul","aug","sep","okt","nov","des"))</f>
        <v/>
      </c>
      <c r="E212" s="21" t="n">
        <v>4</v>
      </c>
      <c r="F212" s="21" t="n">
        <v>5</v>
      </c>
      <c r="G212" s="21" t="n">
        <v>4</v>
      </c>
      <c r="H212" s="18">
        <f>IF(COUNT(E212:G212)&lt;3,"",ROUND(IF(OR(E212=1,F212=1),MIN('Les meg'!$C$25,E212*'Les meg'!$C$21+F212*'Les meg'!$C$22+G212*'Les meg'!$C$23),E212*'Les meg'!$C$21+F212*'Les meg'!$C$22+G212*'Les meg'!$C$23),1))</f>
        <v/>
      </c>
      <c r="I212" s="21" t="n">
        <v>22.6</v>
      </c>
      <c r="J212" s="21" t="n">
        <v>31</v>
      </c>
      <c r="K212" s="21" t="inlineStr">
        <is>
          <t>Vår og blomstring, behagelig.</t>
        </is>
      </c>
    </row>
    <row r="213">
      <c r="A213" s="21" t="inlineStr">
        <is>
          <t>LBN</t>
        </is>
      </c>
      <c r="B213" s="5">
        <f>IFERROR(INDEX(Destinasjoner!$E$5:$E$64,MATCH(A213,Destinasjoner!$A$5:$A$64,0)),"")</f>
        <v/>
      </c>
      <c r="C213" s="21" t="n">
        <v>5</v>
      </c>
      <c r="D213" s="5">
        <f>IF(C213="","",CHOOSE(C213,"jan","feb","mar","apr","mai","jun","jul","aug","sep","okt","nov","des"))</f>
        <v/>
      </c>
      <c r="E213" s="21" t="n">
        <v>5</v>
      </c>
      <c r="F213" s="21" t="n">
        <v>5</v>
      </c>
      <c r="G213" s="21" t="n">
        <v>3</v>
      </c>
      <c r="H213" s="18">
        <f>IF(COUNT(E213:G213)&lt;3,"",ROUND(IF(OR(E213=1,F213=1),MIN('Les meg'!$C$25,E213*'Les meg'!$C$21+F213*'Les meg'!$C$22+G213*'Les meg'!$C$23),E213*'Les meg'!$C$21+F213*'Les meg'!$C$22+G213*'Les meg'!$C$23),1))</f>
        <v/>
      </c>
      <c r="I213" s="21" t="n">
        <v>25.4</v>
      </c>
      <c r="J213" s="21" t="n">
        <v>11</v>
      </c>
      <c r="K213" s="21" t="inlineStr">
        <is>
          <t>Ideelt: varmt og tørt.</t>
        </is>
      </c>
    </row>
    <row r="214">
      <c r="A214" s="21" t="inlineStr">
        <is>
          <t>LBN</t>
        </is>
      </c>
      <c r="B214" s="5">
        <f>IFERROR(INDEX(Destinasjoner!$E$5:$E$64,MATCH(A214,Destinasjoner!$A$5:$A$64,0)),"")</f>
        <v/>
      </c>
      <c r="C214" s="21" t="n">
        <v>6</v>
      </c>
      <c r="D214" s="5">
        <f>IF(C214="","",CHOOSE(C214,"jan","feb","mar","apr","mai","jun","jul","aug","sep","okt","nov","des"))</f>
        <v/>
      </c>
      <c r="E214" s="21" t="n">
        <v>4</v>
      </c>
      <c r="F214" s="21" t="n">
        <v>5</v>
      </c>
      <c r="G214" s="21" t="n">
        <v>3</v>
      </c>
      <c r="H214" s="18">
        <f>IF(COUNT(E214:G214)&lt;3,"",ROUND(IF(OR(E214=1,F214=1),MIN('Les meg'!$C$25,E214*'Les meg'!$C$21+F214*'Les meg'!$C$22+G214*'Les meg'!$C$23),E214*'Les meg'!$C$21+F214*'Les meg'!$C$22+G214*'Les meg'!$C$23),1))</f>
        <v/>
      </c>
      <c r="I214" s="21" t="n">
        <v>27.9</v>
      </c>
      <c r="J214" s="21" t="n">
        <v>1</v>
      </c>
      <c r="K214" s="21" t="inlineStr">
        <is>
          <t>Varmt; strandsesongen starter.</t>
        </is>
      </c>
    </row>
    <row r="215">
      <c r="A215" s="21" t="inlineStr">
        <is>
          <t>LBN</t>
        </is>
      </c>
      <c r="B215" s="5">
        <f>IFERROR(INDEX(Destinasjoner!$E$5:$E$64,MATCH(A215,Destinasjoner!$A$5:$A$64,0)),"")</f>
        <v/>
      </c>
      <c r="C215" s="21" t="n">
        <v>7</v>
      </c>
      <c r="D215" s="5">
        <f>IF(C215="","",CHOOSE(C215,"jan","feb","mar","apr","mai","jun","jul","aug","sep","okt","nov","des"))</f>
        <v/>
      </c>
      <c r="E215" s="21" t="n">
        <v>3</v>
      </c>
      <c r="F215" s="21" t="n">
        <v>4</v>
      </c>
      <c r="G215" s="21" t="n">
        <v>2</v>
      </c>
      <c r="H215" s="18">
        <f>IF(COUNT(E215:G215)&lt;3,"",ROUND(IF(OR(E215=1,F215=1),MIN('Les meg'!$C$25,E215*'Les meg'!$C$21+F215*'Les meg'!$C$22+G215*'Les meg'!$C$23),E215*'Les meg'!$C$21+F215*'Les meg'!$C$22+G215*'Les meg'!$C$23),1))</f>
        <v/>
      </c>
      <c r="I215" s="21" t="n">
        <v>30</v>
      </c>
      <c r="J215" s="21" t="n">
        <v>0</v>
      </c>
      <c r="K215" s="21" t="inlineStr">
        <is>
          <t>Varmt og fuktig; diasporaen hjemme – dyrt. Baalbek-festivalen.</t>
        </is>
      </c>
    </row>
    <row r="216">
      <c r="A216" s="21" t="inlineStr">
        <is>
          <t>LBN</t>
        </is>
      </c>
      <c r="B216" s="5">
        <f>IFERROR(INDEX(Destinasjoner!$E$5:$E$64,MATCH(A216,Destinasjoner!$A$5:$A$64,0)),"")</f>
        <v/>
      </c>
      <c r="C216" s="21" t="n">
        <v>8</v>
      </c>
      <c r="D216" s="5">
        <f>IF(C216="","",CHOOSE(C216,"jan","feb","mar","apr","mai","jun","jul","aug","sep","okt","nov","des"))</f>
        <v/>
      </c>
      <c r="E216" s="21" t="n">
        <v>3</v>
      </c>
      <c r="F216" s="21" t="n">
        <v>4</v>
      </c>
      <c r="G216" s="21" t="n">
        <v>2</v>
      </c>
      <c r="H216" s="18">
        <f>IF(COUNT(E216:G216)&lt;3,"",ROUND(IF(OR(E216=1,F216=1),MIN('Les meg'!$C$25,E216*'Les meg'!$C$21+F216*'Les meg'!$C$22+G216*'Les meg'!$C$23),E216*'Les meg'!$C$21+F216*'Les meg'!$C$22+G216*'Les meg'!$C$23),1))</f>
        <v/>
      </c>
      <c r="I216" s="21" t="n">
        <v>30.7</v>
      </c>
      <c r="J216" s="21" t="n">
        <v>0</v>
      </c>
      <c r="K216" s="21" t="inlineStr">
        <is>
          <t>Varmt og fuktig, høysesong.</t>
        </is>
      </c>
    </row>
    <row r="217">
      <c r="A217" s="21" t="inlineStr">
        <is>
          <t>LBN</t>
        </is>
      </c>
      <c r="B217" s="5">
        <f>IFERROR(INDEX(Destinasjoner!$E$5:$E$64,MATCH(A217,Destinasjoner!$A$5:$A$64,0)),"")</f>
        <v/>
      </c>
      <c r="C217" s="21" t="n">
        <v>9</v>
      </c>
      <c r="D217" s="5">
        <f>IF(C217="","",CHOOSE(C217,"jan","feb","mar","apr","mai","jun","jul","aug","sep","okt","nov","des"))</f>
        <v/>
      </c>
      <c r="E217" s="21" t="n">
        <v>4</v>
      </c>
      <c r="F217" s="21" t="n">
        <v>5</v>
      </c>
      <c r="G217" s="21" t="n">
        <v>3</v>
      </c>
      <c r="H217" s="18">
        <f>IF(COUNT(E217:G217)&lt;3,"",ROUND(IF(OR(E217=1,F217=1),MIN('Les meg'!$C$25,E217*'Les meg'!$C$21+F217*'Les meg'!$C$22+G217*'Les meg'!$C$23),E217*'Les meg'!$C$21+F217*'Les meg'!$C$22+G217*'Les meg'!$C$23),1))</f>
        <v/>
      </c>
      <c r="I217" s="21" t="n">
        <v>29.8</v>
      </c>
      <c r="J217" s="21" t="n">
        <v>5</v>
      </c>
      <c r="K217" s="21" t="inlineStr">
        <is>
          <t>Varmt hav, lavere fuktighet.</t>
        </is>
      </c>
    </row>
    <row r="218">
      <c r="A218" s="21" t="inlineStr">
        <is>
          <t>LBN</t>
        </is>
      </c>
      <c r="B218" s="5">
        <f>IFERROR(INDEX(Destinasjoner!$E$5:$E$64,MATCH(A218,Destinasjoner!$A$5:$A$64,0)),"")</f>
        <v/>
      </c>
      <c r="C218" s="21" t="n">
        <v>10</v>
      </c>
      <c r="D218" s="5">
        <f>IF(C218="","",CHOOSE(C218,"jan","feb","mar","apr","mai","jun","jul","aug","sep","okt","nov","des"))</f>
        <v/>
      </c>
      <c r="E218" s="21" t="n">
        <v>5</v>
      </c>
      <c r="F218" s="21" t="n">
        <v>5</v>
      </c>
      <c r="G218" s="21" t="n">
        <v>4</v>
      </c>
      <c r="H218" s="18">
        <f>IF(COUNT(E218:G218)&lt;3,"",ROUND(IF(OR(E218=1,F218=1),MIN('Les meg'!$C$25,E218*'Les meg'!$C$21+F218*'Les meg'!$C$22+G218*'Les meg'!$C$23),E218*'Les meg'!$C$21+F218*'Les meg'!$C$22+G218*'Les meg'!$C$23),1))</f>
        <v/>
      </c>
      <c r="I218" s="21" t="n">
        <v>27.5</v>
      </c>
      <c r="J218" s="21" t="n">
        <v>60</v>
      </c>
      <c r="K218" s="21" t="inlineStr">
        <is>
          <t>Behagelig; vinhøst i Bekaa.</t>
        </is>
      </c>
    </row>
    <row r="219">
      <c r="A219" s="21" t="inlineStr">
        <is>
          <t>LBN</t>
        </is>
      </c>
      <c r="B219" s="5">
        <f>IFERROR(INDEX(Destinasjoner!$E$5:$E$64,MATCH(A219,Destinasjoner!$A$5:$A$64,0)),"")</f>
        <v/>
      </c>
      <c r="C219" s="21" t="n">
        <v>11</v>
      </c>
      <c r="D219" s="5">
        <f>IF(C219="","",CHOOSE(C219,"jan","feb","mar","apr","mai","jun","jul","aug","sep","okt","nov","des"))</f>
        <v/>
      </c>
      <c r="E219" s="21" t="n">
        <v>3</v>
      </c>
      <c r="F219" s="21" t="n">
        <v>4</v>
      </c>
      <c r="G219" s="21" t="n">
        <v>4</v>
      </c>
      <c r="H219" s="18">
        <f>IF(COUNT(E219:G219)&lt;3,"",ROUND(IF(OR(E219=1,F219=1),MIN('Les meg'!$C$25,E219*'Les meg'!$C$21+F219*'Les meg'!$C$22+G219*'Les meg'!$C$23),E219*'Les meg'!$C$21+F219*'Les meg'!$C$22+G219*'Les meg'!$C$23),1))</f>
        <v/>
      </c>
      <c r="I219" s="21" t="n">
        <v>23.2</v>
      </c>
      <c r="J219" s="21" t="n">
        <v>115</v>
      </c>
      <c r="K219" s="21" t="inlineStr">
        <is>
          <t>Første regn.</t>
        </is>
      </c>
    </row>
    <row r="220">
      <c r="A220" s="21" t="inlineStr">
        <is>
          <t>LBN</t>
        </is>
      </c>
      <c r="B220" s="5">
        <f>IFERROR(INDEX(Destinasjoner!$E$5:$E$64,MATCH(A220,Destinasjoner!$A$5:$A$64,0)),"")</f>
        <v/>
      </c>
      <c r="C220" s="21" t="n">
        <v>12</v>
      </c>
      <c r="D220" s="5">
        <f>IF(C220="","",CHOOSE(C220,"jan","feb","mar","apr","mai","jun","jul","aug","sep","okt","nov","des"))</f>
        <v/>
      </c>
      <c r="E220" s="21" t="n">
        <v>2</v>
      </c>
      <c r="F220" s="21" t="n">
        <v>3</v>
      </c>
      <c r="G220" s="21" t="n">
        <v>4</v>
      </c>
      <c r="H220" s="18">
        <f>IF(COUNT(E220:G220)&lt;3,"",ROUND(IF(OR(E220=1,F220=1),MIN('Les meg'!$C$25,E220*'Les meg'!$C$21+F220*'Les meg'!$C$22+G220*'Les meg'!$C$23),E220*'Les meg'!$C$21+F220*'Les meg'!$C$22+G220*'Les meg'!$C$23),1))</f>
        <v/>
      </c>
      <c r="I220" s="21" t="n">
        <v>19.4</v>
      </c>
      <c r="J220" s="21" t="n">
        <v>141</v>
      </c>
      <c r="K220" s="21" t="inlineStr">
        <is>
          <t>Regn og kjølig.</t>
        </is>
      </c>
    </row>
    <row r="221">
      <c r="A221" s="21" t="inlineStr">
        <is>
          <t>USA-WC</t>
        </is>
      </c>
      <c r="B221" s="5">
        <f>IFERROR(INDEX(Destinasjoner!$E$5:$E$64,MATCH(A221,Destinasjoner!$A$5:$A$64,0)),"")</f>
        <v/>
      </c>
      <c r="C221" s="21" t="n">
        <v>1</v>
      </c>
      <c r="D221" s="5">
        <f>IF(C221="","",CHOOSE(C221,"jan","feb","mar","apr","mai","jun","jul","aug","sep","okt","nov","des"))</f>
        <v/>
      </c>
      <c r="E221" s="21" t="n">
        <v>2</v>
      </c>
      <c r="F221" s="21" t="n">
        <v>2</v>
      </c>
      <c r="G221" s="21" t="n">
        <v>5</v>
      </c>
      <c r="H221" s="18">
        <f>IF(COUNT(E221:G221)&lt;3,"",ROUND(IF(OR(E221=1,F221=1),MIN('Les meg'!$C$25,E221*'Les meg'!$C$21+F221*'Les meg'!$C$22+G221*'Les meg'!$C$23),E221*'Les meg'!$C$21+F221*'Les meg'!$C$22+G221*'Les meg'!$C$23),1))</f>
        <v/>
      </c>
      <c r="I221" s="21" t="n">
        <v>6.8</v>
      </c>
      <c r="J221" s="21" t="n">
        <v>174</v>
      </c>
      <c r="K221" s="21" t="inlineStr">
        <is>
          <t>Vancouver 7 °C og regn; SF mildt, men vått.</t>
        </is>
      </c>
    </row>
    <row r="222">
      <c r="A222" s="21" t="inlineStr">
        <is>
          <t>USA-WC</t>
        </is>
      </c>
      <c r="B222" s="5">
        <f>IFERROR(INDEX(Destinasjoner!$E$5:$E$64,MATCH(A222,Destinasjoner!$A$5:$A$64,0)),"")</f>
        <v/>
      </c>
      <c r="C222" s="21" t="n">
        <v>2</v>
      </c>
      <c r="D222" s="5">
        <f>IF(C222="","",CHOOSE(C222,"jan","feb","mar","apr","mai","jun","jul","aug","sep","okt","nov","des"))</f>
        <v/>
      </c>
      <c r="E222" s="21" t="n">
        <v>2</v>
      </c>
      <c r="F222" s="21" t="n">
        <v>2</v>
      </c>
      <c r="G222" s="21" t="n">
        <v>5</v>
      </c>
      <c r="H222" s="18">
        <f>IF(COUNT(E222:G222)&lt;3,"",ROUND(IF(OR(E222=1,F222=1),MIN('Les meg'!$C$25,E222*'Les meg'!$C$21+F222*'Les meg'!$C$22+G222*'Les meg'!$C$23),E222*'Les meg'!$C$21+F222*'Les meg'!$C$22+G222*'Les meg'!$C$23),1))</f>
        <v/>
      </c>
      <c r="I222" s="21" t="n">
        <v>7.9</v>
      </c>
      <c r="J222" s="21" t="n">
        <v>91</v>
      </c>
      <c r="K222" s="21" t="inlineStr">
        <is>
          <t>Vått i nord.</t>
        </is>
      </c>
    </row>
    <row r="223">
      <c r="A223" s="21" t="inlineStr">
        <is>
          <t>USA-WC</t>
        </is>
      </c>
      <c r="B223" s="5">
        <f>IFERROR(INDEX(Destinasjoner!$E$5:$E$64,MATCH(A223,Destinasjoner!$A$5:$A$64,0)),"")</f>
        <v/>
      </c>
      <c r="C223" s="21" t="n">
        <v>3</v>
      </c>
      <c r="D223" s="5">
        <f>IF(C223="","",CHOOSE(C223,"jan","feb","mar","apr","mai","jun","jul","aug","sep","okt","nov","des"))</f>
        <v/>
      </c>
      <c r="E223" s="21" t="n">
        <v>2</v>
      </c>
      <c r="F223" s="21" t="n">
        <v>3</v>
      </c>
      <c r="G223" s="21" t="n">
        <v>5</v>
      </c>
      <c r="H223" s="18">
        <f>IF(COUNT(E223:G223)&lt;3,"",ROUND(IF(OR(E223=1,F223=1),MIN('Les meg'!$C$25,E223*'Les meg'!$C$21+F223*'Les meg'!$C$22+G223*'Les meg'!$C$23),E223*'Les meg'!$C$21+F223*'Les meg'!$C$22+G223*'Les meg'!$C$23),1))</f>
        <v/>
      </c>
      <c r="I223" s="21" t="n">
        <v>10.1</v>
      </c>
      <c r="J223" s="21" t="n">
        <v>106</v>
      </c>
      <c r="K223" s="21" t="inlineStr">
        <is>
          <t>Fortsatt vått i nord; blomstring i California.</t>
        </is>
      </c>
    </row>
    <row r="224">
      <c r="A224" s="21" t="inlineStr">
        <is>
          <t>USA-WC</t>
        </is>
      </c>
      <c r="B224" s="5">
        <f>IFERROR(INDEX(Destinasjoner!$E$5:$E$64,MATCH(A224,Destinasjoner!$A$5:$A$64,0)),"")</f>
        <v/>
      </c>
      <c r="C224" s="21" t="n">
        <v>4</v>
      </c>
      <c r="D224" s="5">
        <f>IF(C224="","",CHOOSE(C224,"jan","feb","mar","apr","mai","jun","jul","aug","sep","okt","nov","des"))</f>
        <v/>
      </c>
      <c r="E224" s="21" t="n">
        <v>3</v>
      </c>
      <c r="F224" s="21" t="n">
        <v>3</v>
      </c>
      <c r="G224" s="21" t="n">
        <v>4</v>
      </c>
      <c r="H224" s="18">
        <f>IF(COUNT(E224:G224)&lt;3,"",ROUND(IF(OR(E224=1,F224=1),MIN('Les meg'!$C$25,E224*'Les meg'!$C$21+F224*'Les meg'!$C$22+G224*'Les meg'!$C$23),E224*'Les meg'!$C$21+F224*'Les meg'!$C$22+G224*'Les meg'!$C$23),1))</f>
        <v/>
      </c>
      <c r="I224" s="21" t="n">
        <v>13.1</v>
      </c>
      <c r="J224" s="21" t="n">
        <v>86</v>
      </c>
      <c r="K224" s="21" t="inlineStr">
        <is>
          <t>Mildere, byger.</t>
        </is>
      </c>
    </row>
    <row r="225">
      <c r="A225" s="21" t="inlineStr">
        <is>
          <t>USA-WC</t>
        </is>
      </c>
      <c r="B225" s="5">
        <f>IFERROR(INDEX(Destinasjoner!$E$5:$E$64,MATCH(A225,Destinasjoner!$A$5:$A$64,0)),"")</f>
        <v/>
      </c>
      <c r="C225" s="21" t="n">
        <v>5</v>
      </c>
      <c r="D225" s="5">
        <f>IF(C225="","",CHOOSE(C225,"jan","feb","mar","apr","mai","jun","jul","aug","sep","okt","nov","des"))</f>
        <v/>
      </c>
      <c r="E225" s="21" t="n">
        <v>4</v>
      </c>
      <c r="F225" s="21" t="n">
        <v>4</v>
      </c>
      <c r="G225" s="21" t="n">
        <v>3</v>
      </c>
      <c r="H225" s="18">
        <f>IF(COUNT(E225:G225)&lt;3,"",ROUND(IF(OR(E225=1,F225=1),MIN('Les meg'!$C$25,E225*'Les meg'!$C$21+F225*'Les meg'!$C$22+G225*'Les meg'!$C$23),E225*'Les meg'!$C$21+F225*'Les meg'!$C$22+G225*'Les meg'!$C$23),1))</f>
        <v/>
      </c>
      <c r="I225" s="21" t="n">
        <v>16.9</v>
      </c>
      <c r="J225" s="21" t="n">
        <v>59</v>
      </c>
      <c r="K225" s="21" t="inlineStr">
        <is>
          <t>Tørrere og grønt; tåke langs kysten i California («May Gray»).</t>
        </is>
      </c>
    </row>
    <row r="226">
      <c r="A226" s="21" t="inlineStr">
        <is>
          <t>USA-WC</t>
        </is>
      </c>
      <c r="B226" s="5">
        <f>IFERROR(INDEX(Destinasjoner!$E$5:$E$64,MATCH(A226,Destinasjoner!$A$5:$A$64,0)),"")</f>
        <v/>
      </c>
      <c r="C226" s="21" t="n">
        <v>6</v>
      </c>
      <c r="D226" s="5">
        <f>IF(C226="","",CHOOSE(C226,"jan","feb","mar","apr","mai","jun","jul","aug","sep","okt","nov","des"))</f>
        <v/>
      </c>
      <c r="E226" s="21" t="n">
        <v>4</v>
      </c>
      <c r="F226" s="21" t="n">
        <v>4</v>
      </c>
      <c r="G226" s="21" t="n">
        <v>3</v>
      </c>
      <c r="H226" s="18">
        <f>IF(COUNT(E226:G226)&lt;3,"",ROUND(IF(OR(E226=1,F226=1),MIN('Les meg'!$C$25,E226*'Les meg'!$C$21+F226*'Les meg'!$C$22+G226*'Les meg'!$C$23),E226*'Les meg'!$C$21+F226*'Les meg'!$C$22+G226*'Les meg'!$C$23),1))</f>
        <v/>
      </c>
      <c r="I226" s="21" t="n">
        <v>19.6</v>
      </c>
      <c r="J226" s="21" t="n">
        <v>51</v>
      </c>
      <c r="K226" s="21" t="inlineStr">
        <is>
          <t>Lange dager; «June Gloom» i SF.</t>
        </is>
      </c>
    </row>
    <row r="227">
      <c r="A227" s="21" t="inlineStr">
        <is>
          <t>USA-WC</t>
        </is>
      </c>
      <c r="B227" s="5">
        <f>IFERROR(INDEX(Destinasjoner!$E$5:$E$64,MATCH(A227,Destinasjoner!$A$5:$A$64,0)),"")</f>
        <v/>
      </c>
      <c r="C227" s="21" t="n">
        <v>7</v>
      </c>
      <c r="D227" s="5">
        <f>IF(C227="","",CHOOSE(C227,"jan","feb","mar","apr","mai","jun","jul","aug","sep","okt","nov","des"))</f>
        <v/>
      </c>
      <c r="E227" s="21" t="n">
        <v>5</v>
      </c>
      <c r="F227" s="21" t="n">
        <v>5</v>
      </c>
      <c r="G227" s="21" t="n">
        <v>1</v>
      </c>
      <c r="H227" s="18">
        <f>IF(COUNT(E227:G227)&lt;3,"",ROUND(IF(OR(E227=1,F227=1),MIN('Les meg'!$C$25,E227*'Les meg'!$C$21+F227*'Les meg'!$C$22+G227*'Les meg'!$C$23),E227*'Les meg'!$C$21+F227*'Les meg'!$C$22+G227*'Les meg'!$C$23),1))</f>
        <v/>
      </c>
      <c r="I227" s="21" t="n">
        <v>22.4</v>
      </c>
      <c r="J227" s="21" t="n">
        <v>34</v>
      </c>
      <c r="K227" s="21" t="inlineStr">
        <is>
          <t>Tørt og solrikt i nord; toppsesong i nasjonalparkene.</t>
        </is>
      </c>
    </row>
    <row r="228">
      <c r="A228" s="21" t="inlineStr">
        <is>
          <t>USA-WC</t>
        </is>
      </c>
      <c r="B228" s="5">
        <f>IFERROR(INDEX(Destinasjoner!$E$5:$E$64,MATCH(A228,Destinasjoner!$A$5:$A$64,0)),"")</f>
        <v/>
      </c>
      <c r="C228" s="21" t="n">
        <v>8</v>
      </c>
      <c r="D228" s="5">
        <f>IF(C228="","",CHOOSE(C228,"jan","feb","mar","apr","mai","jun","jul","aug","sep","okt","nov","des"))</f>
        <v/>
      </c>
      <c r="E228" s="21" t="n">
        <v>5</v>
      </c>
      <c r="F228" s="21" t="n">
        <v>5</v>
      </c>
      <c r="G228" s="21" t="n">
        <v>1</v>
      </c>
      <c r="H228" s="18">
        <f>IF(COUNT(E228:G228)&lt;3,"",ROUND(IF(OR(E228=1,F228=1),MIN('Les meg'!$C$25,E228*'Les meg'!$C$21+F228*'Les meg'!$C$22+G228*'Les meg'!$C$23),E228*'Les meg'!$C$21+F228*'Les meg'!$C$22+G228*'Les meg'!$C$23),1))</f>
        <v/>
      </c>
      <c r="I228" s="21" t="n">
        <v>22.4</v>
      </c>
      <c r="J228" s="21" t="n">
        <v>36</v>
      </c>
      <c r="K228" s="21" t="inlineStr">
        <is>
          <t>Tørt; risiko for skogbrannrøyk.</t>
        </is>
      </c>
    </row>
    <row r="229">
      <c r="A229" s="21" t="inlineStr">
        <is>
          <t>USA-WC</t>
        </is>
      </c>
      <c r="B229" s="5">
        <f>IFERROR(INDEX(Destinasjoner!$E$5:$E$64,MATCH(A229,Destinasjoner!$A$5:$A$64,0)),"")</f>
        <v/>
      </c>
      <c r="C229" s="21" t="n">
        <v>9</v>
      </c>
      <c r="D229" s="5">
        <f>IF(C229="","",CHOOSE(C229,"jan","feb","mar","apr","mai","jun","jul","aug","sep","okt","nov","des"))</f>
        <v/>
      </c>
      <c r="E229" s="21" t="n">
        <v>5</v>
      </c>
      <c r="F229" s="21" t="n">
        <v>5</v>
      </c>
      <c r="G229" s="21" t="n">
        <v>3</v>
      </c>
      <c r="H229" s="18">
        <f>IF(COUNT(E229:G229)&lt;3,"",ROUND(IF(OR(E229=1,F229=1),MIN('Les meg'!$C$25,E229*'Les meg'!$C$21+F229*'Les meg'!$C$22+G229*'Les meg'!$C$23),E229*'Les meg'!$C$21+F229*'Les meg'!$C$22+G229*'Les meg'!$C$23),1))</f>
        <v/>
      </c>
      <c r="I229" s="21" t="n">
        <v>19.1</v>
      </c>
      <c r="J229" s="21" t="n">
        <v>52</v>
      </c>
      <c r="K229" s="21" t="inlineStr">
        <is>
          <t>Beste balanse: varmest i SF (21 °C), tørt i nord, færre folk. Skogbrannrisiko.</t>
        </is>
      </c>
    </row>
    <row r="230">
      <c r="A230" s="21" t="inlineStr">
        <is>
          <t>USA-WC</t>
        </is>
      </c>
      <c r="B230" s="5">
        <f>IFERROR(INDEX(Destinasjoner!$E$5:$E$64,MATCH(A230,Destinasjoner!$A$5:$A$64,0)),"")</f>
        <v/>
      </c>
      <c r="C230" s="21" t="n">
        <v>10</v>
      </c>
      <c r="D230" s="5">
        <f>IF(C230="","",CHOOSE(C230,"jan","feb","mar","apr","mai","jun","jul","aug","sep","okt","nov","des"))</f>
        <v/>
      </c>
      <c r="E230" s="21" t="n">
        <v>3</v>
      </c>
      <c r="F230" s="21" t="n">
        <v>4</v>
      </c>
      <c r="G230" s="21" t="n">
        <v>4</v>
      </c>
      <c r="H230" s="18">
        <f>IF(COUNT(E230:G230)&lt;3,"",ROUND(IF(OR(E230=1,F230=1),MIN('Les meg'!$C$25,E230*'Les meg'!$C$21+F230*'Les meg'!$C$22+G230*'Les meg'!$C$23),E230*'Les meg'!$C$21+F230*'Les meg'!$C$22+G230*'Les meg'!$C$23),1))</f>
        <v/>
      </c>
      <c r="I230" s="21" t="n">
        <v>13.5</v>
      </c>
      <c r="J230" s="21" t="n">
        <v>124</v>
      </c>
      <c r="K230" s="21" t="inlineStr">
        <is>
          <t>Høstfarger; regnet kommer til BC mot slutten.</t>
        </is>
      </c>
    </row>
    <row r="231">
      <c r="A231" s="21" t="inlineStr">
        <is>
          <t>USA-WC</t>
        </is>
      </c>
      <c r="B231" s="5">
        <f>IFERROR(INDEX(Destinasjoner!$E$5:$E$64,MATCH(A231,Destinasjoner!$A$5:$A$64,0)),"")</f>
        <v/>
      </c>
      <c r="C231" s="21" t="n">
        <v>11</v>
      </c>
      <c r="D231" s="5">
        <f>IF(C231="","",CHOOSE(C231,"jan","feb","mar","apr","mai","jun","jul","aug","sep","okt","nov","des"))</f>
        <v/>
      </c>
      <c r="E231" s="21" t="n">
        <v>2</v>
      </c>
      <c r="F231" s="21" t="n">
        <v>2</v>
      </c>
      <c r="G231" s="21" t="n">
        <v>5</v>
      </c>
      <c r="H231" s="18">
        <f>IF(COUNT(E231:G231)&lt;3,"",ROUND(IF(OR(E231=1,F231=1),MIN('Les meg'!$C$25,E231*'Les meg'!$C$21+F231*'Les meg'!$C$22+G231*'Les meg'!$C$23),E231*'Les meg'!$C$21+F231*'Les meg'!$C$22+G231*'Les meg'!$C$23),1))</f>
        <v/>
      </c>
      <c r="I231" s="21" t="n">
        <v>9.300000000000001</v>
      </c>
      <c r="J231" s="21" t="n">
        <v>175</v>
      </c>
      <c r="K231" s="21" t="inlineStr">
        <is>
          <t>Regntid i nord.</t>
        </is>
      </c>
    </row>
    <row r="232">
      <c r="A232" s="21" t="inlineStr">
        <is>
          <t>USA-WC</t>
        </is>
      </c>
      <c r="B232" s="5">
        <f>IFERROR(INDEX(Destinasjoner!$E$5:$E$64,MATCH(A232,Destinasjoner!$A$5:$A$64,0)),"")</f>
        <v/>
      </c>
      <c r="C232" s="21" t="n">
        <v>12</v>
      </c>
      <c r="D232" s="5">
        <f>IF(C232="","",CHOOSE(C232,"jan","feb","mar","apr","mai","jun","jul","aug","sep","okt","nov","des"))</f>
        <v/>
      </c>
      <c r="E232" s="21" t="n">
        <v>2</v>
      </c>
      <c r="F232" s="21" t="n">
        <v>2</v>
      </c>
      <c r="G232" s="21" t="n">
        <v>5</v>
      </c>
      <c r="H232" s="18">
        <f>IF(COUNT(E232:G232)&lt;3,"",ROUND(IF(OR(E232=1,F232=1),MIN('Les meg'!$C$25,E232*'Les meg'!$C$21+F232*'Les meg'!$C$22+G232*'Les meg'!$C$23),E232*'Les meg'!$C$21+F232*'Les meg'!$C$22+G232*'Les meg'!$C$23),1))</f>
        <v/>
      </c>
      <c r="I232" s="21" t="n">
        <v>6.6</v>
      </c>
      <c r="J232" s="21" t="n">
        <v>172</v>
      </c>
      <c r="K232" s="21" t="inlineStr">
        <is>
          <t>Regntid i nord.</t>
        </is>
      </c>
    </row>
    <row r="233">
      <c r="A233" s="21" t="inlineStr">
        <is>
          <t>USA-HI</t>
        </is>
      </c>
      <c r="B233" s="5">
        <f>IFERROR(INDEX(Destinasjoner!$E$5:$E$64,MATCH(A233,Destinasjoner!$A$5:$A$64,0)),"")</f>
        <v/>
      </c>
      <c r="C233" s="21" t="n">
        <v>1</v>
      </c>
      <c r="D233" s="5">
        <f>IF(C233="","",CHOOSE(C233,"jan","feb","mar","apr","mai","jun","jul","aug","sep","okt","nov","des"))</f>
        <v/>
      </c>
      <c r="E233" s="21" t="n">
        <v>4</v>
      </c>
      <c r="F233" s="21" t="n">
        <v>5</v>
      </c>
      <c r="G233" s="21" t="n">
        <v>3</v>
      </c>
      <c r="H233" s="18">
        <f>IF(COUNT(E233:G233)&lt;3,"",ROUND(IF(OR(E233=1,F233=1),MIN('Les meg'!$C$25,E233*'Les meg'!$C$21+F233*'Les meg'!$C$22+G233*'Les meg'!$C$23),E233*'Les meg'!$C$21+F233*'Les meg'!$C$22+G233*'Les meg'!$C$23),1))</f>
        <v/>
      </c>
      <c r="I233" s="21" t="n">
        <v>26.9</v>
      </c>
      <c r="J233" s="21" t="n">
        <v>47</v>
      </c>
      <c r="K233" s="21" t="inlineStr">
        <is>
          <t>Noe regn; knølhval og store bølger på nordkysten.</t>
        </is>
      </c>
    </row>
    <row r="234">
      <c r="A234" s="21" t="inlineStr">
        <is>
          <t>USA-HI</t>
        </is>
      </c>
      <c r="B234" s="5">
        <f>IFERROR(INDEX(Destinasjoner!$E$5:$E$64,MATCH(A234,Destinasjoner!$A$5:$A$64,0)),"")</f>
        <v/>
      </c>
      <c r="C234" s="21" t="n">
        <v>2</v>
      </c>
      <c r="D234" s="5">
        <f>IF(C234="","",CHOOSE(C234,"jan","feb","mar","apr","mai","jun","jul","aug","sep","okt","nov","des"))</f>
        <v/>
      </c>
      <c r="E234" s="21" t="n">
        <v>4</v>
      </c>
      <c r="F234" s="21" t="n">
        <v>5</v>
      </c>
      <c r="G234" s="21" t="n">
        <v>3</v>
      </c>
      <c r="H234" s="18">
        <f>IF(COUNT(E234:G234)&lt;3,"",ROUND(IF(OR(E234=1,F234=1),MIN('Les meg'!$C$25,E234*'Les meg'!$C$21+F234*'Les meg'!$C$22+G234*'Les meg'!$C$23),E234*'Les meg'!$C$21+F234*'Les meg'!$C$22+G234*'Les meg'!$C$23),1))</f>
        <v/>
      </c>
      <c r="I234" s="21" t="n">
        <v>26.9</v>
      </c>
      <c r="J234" s="21" t="n">
        <v>49</v>
      </c>
      <c r="K234" s="21" t="inlineStr">
        <is>
          <t>Toppsesong for hval.</t>
        </is>
      </c>
    </row>
    <row r="235">
      <c r="A235" s="21" t="inlineStr">
        <is>
          <t>USA-HI</t>
        </is>
      </c>
      <c r="B235" s="5">
        <f>IFERROR(INDEX(Destinasjoner!$E$5:$E$64,MATCH(A235,Destinasjoner!$A$5:$A$64,0)),"")</f>
        <v/>
      </c>
      <c r="C235" s="21" t="n">
        <v>3</v>
      </c>
      <c r="D235" s="5">
        <f>IF(C235="","",CHOOSE(C235,"jan","feb","mar","apr","mai","jun","jul","aug","sep","okt","nov","des"))</f>
        <v/>
      </c>
      <c r="E235" s="21" t="n">
        <v>4</v>
      </c>
      <c r="F235" s="21" t="n">
        <v>5</v>
      </c>
      <c r="G235" s="21" t="n">
        <v>3</v>
      </c>
      <c r="H235" s="18">
        <f>IF(COUNT(E235:G235)&lt;3,"",ROUND(IF(OR(E235=1,F235=1),MIN('Les meg'!$C$25,E235*'Les meg'!$C$21+F235*'Les meg'!$C$22+G235*'Les meg'!$C$23),E235*'Les meg'!$C$21+F235*'Les meg'!$C$22+G235*'Les meg'!$C$23),1))</f>
        <v/>
      </c>
      <c r="I235" s="21" t="n">
        <v>27.3</v>
      </c>
      <c r="J235" s="21" t="n">
        <v>60</v>
      </c>
      <c r="K235" s="21" t="inlineStr">
        <is>
          <t>Hval, noe regn.</t>
        </is>
      </c>
    </row>
    <row r="236">
      <c r="A236" s="21" t="inlineStr">
        <is>
          <t>USA-HI</t>
        </is>
      </c>
      <c r="B236" s="5">
        <f>IFERROR(INDEX(Destinasjoner!$E$5:$E$64,MATCH(A236,Destinasjoner!$A$5:$A$64,0)),"")</f>
        <v/>
      </c>
      <c r="C236" s="21" t="n">
        <v>4</v>
      </c>
      <c r="D236" s="5">
        <f>IF(C236="","",CHOOSE(C236,"jan","feb","mar","apr","mai","jun","jul","aug","sep","okt","nov","des"))</f>
        <v/>
      </c>
      <c r="E236" s="21" t="n">
        <v>5</v>
      </c>
      <c r="F236" s="21" t="n">
        <v>5</v>
      </c>
      <c r="G236" s="21" t="n">
        <v>4</v>
      </c>
      <c r="H236" s="18">
        <f>IF(COUNT(E236:G236)&lt;3,"",ROUND(IF(OR(E236=1,F236=1),MIN('Les meg'!$C$25,E236*'Les meg'!$C$21+F236*'Les meg'!$C$22+G236*'Les meg'!$C$23),E236*'Les meg'!$C$21+F236*'Les meg'!$C$22+G236*'Les meg'!$C$23),1))</f>
        <v/>
      </c>
      <c r="I236" s="21" t="n">
        <v>28.4</v>
      </c>
      <c r="J236" s="21" t="n">
        <v>20</v>
      </c>
      <c r="K236" s="21" t="inlineStr">
        <is>
          <t>Tørrere, hval til midten av måneden. Merrie Monarch (se Vinduer).</t>
        </is>
      </c>
    </row>
    <row r="237">
      <c r="A237" s="21" t="inlineStr">
        <is>
          <t>USA-HI</t>
        </is>
      </c>
      <c r="B237" s="5">
        <f>IFERROR(INDEX(Destinasjoner!$E$5:$E$64,MATCH(A237,Destinasjoner!$A$5:$A$64,0)),"")</f>
        <v/>
      </c>
      <c r="C237" s="21" t="n">
        <v>5</v>
      </c>
      <c r="D237" s="5">
        <f>IF(C237="","",CHOOSE(C237,"jan","feb","mar","apr","mai","jun","jul","aug","sep","okt","nov","des"))</f>
        <v/>
      </c>
      <c r="E237" s="21" t="n">
        <v>5</v>
      </c>
      <c r="F237" s="21" t="n">
        <v>4</v>
      </c>
      <c r="G237" s="21" t="n">
        <v>4</v>
      </c>
      <c r="H237" s="18">
        <f>IF(COUNT(E237:G237)&lt;3,"",ROUND(IF(OR(E237=1,F237=1),MIN('Les meg'!$C$25,E237*'Les meg'!$C$21+F237*'Les meg'!$C$22+G237*'Les meg'!$C$23),E237*'Les meg'!$C$21+F237*'Les meg'!$C$22+G237*'Les meg'!$C$23),1))</f>
        <v/>
      </c>
      <c r="I237" s="21" t="n">
        <v>29.3</v>
      </c>
      <c r="J237" s="21" t="n">
        <v>21</v>
      </c>
      <c r="K237" s="21" t="inlineStr">
        <is>
          <t>Tørt, lite folk.</t>
        </is>
      </c>
    </row>
    <row r="238">
      <c r="A238" s="21" t="inlineStr">
        <is>
          <t>USA-HI</t>
        </is>
      </c>
      <c r="B238" s="5">
        <f>IFERROR(INDEX(Destinasjoner!$E$5:$E$64,MATCH(A238,Destinasjoner!$A$5:$A$64,0)),"")</f>
        <v/>
      </c>
      <c r="C238" s="21" t="n">
        <v>6</v>
      </c>
      <c r="D238" s="5">
        <f>IF(C238="","",CHOOSE(C238,"jan","feb","mar","apr","mai","jun","jul","aug","sep","okt","nov","des"))</f>
        <v/>
      </c>
      <c r="E238" s="21" t="n">
        <v>5</v>
      </c>
      <c r="F238" s="21" t="n">
        <v>4</v>
      </c>
      <c r="G238" s="21" t="n">
        <v>3</v>
      </c>
      <c r="H238" s="18">
        <f>IF(COUNT(E238:G238)&lt;3,"",ROUND(IF(OR(E238=1,F238=1),MIN('Les meg'!$C$25,E238*'Les meg'!$C$21+F238*'Les meg'!$C$22+G238*'Les meg'!$C$23),E238*'Les meg'!$C$21+F238*'Les meg'!$C$22+G238*'Les meg'!$C$23),1))</f>
        <v/>
      </c>
      <c r="I238" s="21" t="n">
        <v>30.5</v>
      </c>
      <c r="J238" s="21" t="n">
        <v>13</v>
      </c>
      <c r="K238" s="21" t="inlineStr">
        <is>
          <t>Tørt, rolig hav på nordkysten.</t>
        </is>
      </c>
    </row>
    <row r="239">
      <c r="A239" s="21" t="inlineStr">
        <is>
          <t>USA-HI</t>
        </is>
      </c>
      <c r="B239" s="5">
        <f>IFERROR(INDEX(Destinasjoner!$E$5:$E$64,MATCH(A239,Destinasjoner!$A$5:$A$64,0)),"")</f>
        <v/>
      </c>
      <c r="C239" s="21" t="n">
        <v>7</v>
      </c>
      <c r="D239" s="5">
        <f>IF(C239="","",CHOOSE(C239,"jan","feb","mar","apr","mai","jun","jul","aug","sep","okt","nov","des"))</f>
        <v/>
      </c>
      <c r="E239" s="21" t="n">
        <v>5</v>
      </c>
      <c r="F239" s="21" t="n">
        <v>4</v>
      </c>
      <c r="G239" s="21" t="n">
        <v>2</v>
      </c>
      <c r="H239" s="18">
        <f>IF(COUNT(E239:G239)&lt;3,"",ROUND(IF(OR(E239=1,F239=1),MIN('Les meg'!$C$25,E239*'Les meg'!$C$21+F239*'Les meg'!$C$22+G239*'Les meg'!$C$23),E239*'Les meg'!$C$21+F239*'Les meg'!$C$22+G239*'Les meg'!$C$23),1))</f>
        <v/>
      </c>
      <c r="I239" s="21" t="n">
        <v>31.2</v>
      </c>
      <c r="J239" s="21" t="n">
        <v>13</v>
      </c>
      <c r="K239" s="21" t="inlineStr">
        <is>
          <t>Tørt og varmt. Sommerferie.</t>
        </is>
      </c>
    </row>
    <row r="240">
      <c r="A240" s="21" t="inlineStr">
        <is>
          <t>USA-HI</t>
        </is>
      </c>
      <c r="B240" s="5">
        <f>IFERROR(INDEX(Destinasjoner!$E$5:$E$64,MATCH(A240,Destinasjoner!$A$5:$A$64,0)),"")</f>
        <v/>
      </c>
      <c r="C240" s="21" t="n">
        <v>8</v>
      </c>
      <c r="D240" s="5">
        <f>IF(C240="","",CHOOSE(C240,"jan","feb","mar","apr","mai","jun","jul","aug","sep","okt","nov","des"))</f>
        <v/>
      </c>
      <c r="E240" s="21" t="n">
        <v>4</v>
      </c>
      <c r="F240" s="21" t="n">
        <v>4</v>
      </c>
      <c r="G240" s="21" t="n">
        <v>2</v>
      </c>
      <c r="H240" s="18">
        <f>IF(COUNT(E240:G240)&lt;3,"",ROUND(IF(OR(E240=1,F240=1),MIN('Les meg'!$C$25,E240*'Les meg'!$C$21+F240*'Les meg'!$C$22+G240*'Les meg'!$C$23),E240*'Les meg'!$C$21+F240*'Les meg'!$C$22+G240*'Les meg'!$C$23),1))</f>
        <v/>
      </c>
      <c r="I240" s="21" t="n">
        <v>31.6</v>
      </c>
      <c r="J240" s="21" t="n">
        <v>21</v>
      </c>
      <c r="K240" s="21" t="inlineStr">
        <is>
          <t>Varmest; lav orkanrisiko.</t>
        </is>
      </c>
    </row>
    <row r="241">
      <c r="A241" s="21" t="inlineStr">
        <is>
          <t>USA-HI</t>
        </is>
      </c>
      <c r="B241" s="5">
        <f>IFERROR(INDEX(Destinasjoner!$E$5:$E$64,MATCH(A241,Destinasjoner!$A$5:$A$64,0)),"")</f>
        <v/>
      </c>
      <c r="C241" s="21" t="n">
        <v>9</v>
      </c>
      <c r="D241" s="5">
        <f>IF(C241="","",CHOOSE(C241,"jan","feb","mar","apr","mai","jun","jul","aug","sep","okt","nov","des"))</f>
        <v/>
      </c>
      <c r="E241" s="21" t="n">
        <v>4</v>
      </c>
      <c r="F241" s="21" t="n">
        <v>4</v>
      </c>
      <c r="G241" s="21" t="n">
        <v>4</v>
      </c>
      <c r="H241" s="18">
        <f>IF(COUNT(E241:G241)&lt;3,"",ROUND(IF(OR(E241=1,F241=1),MIN('Les meg'!$C$25,E241*'Les meg'!$C$21+F241*'Les meg'!$C$22+G241*'Les meg'!$C$23),E241*'Les meg'!$C$21+F241*'Les meg'!$C$22+G241*'Les meg'!$C$23),1))</f>
        <v/>
      </c>
      <c r="I241" s="21" t="n">
        <v>31.3</v>
      </c>
      <c r="J241" s="21" t="n">
        <v>22</v>
      </c>
      <c r="K241" s="21" t="inlineStr">
        <is>
          <t>Varmt, lite folk; lav orkanrisiko.</t>
        </is>
      </c>
    </row>
    <row r="242">
      <c r="A242" s="21" t="inlineStr">
        <is>
          <t>USA-HI</t>
        </is>
      </c>
      <c r="B242" s="5">
        <f>IFERROR(INDEX(Destinasjoner!$E$5:$E$64,MATCH(A242,Destinasjoner!$A$5:$A$64,0)),"")</f>
        <v/>
      </c>
      <c r="C242" s="21" t="n">
        <v>10</v>
      </c>
      <c r="D242" s="5">
        <f>IF(C242="","",CHOOSE(C242,"jan","feb","mar","apr","mai","jun","jul","aug","sep","okt","nov","des"))</f>
        <v/>
      </c>
      <c r="E242" s="21" t="n">
        <v>4</v>
      </c>
      <c r="F242" s="21" t="n">
        <v>4</v>
      </c>
      <c r="G242" s="21" t="n">
        <v>4</v>
      </c>
      <c r="H242" s="18">
        <f>IF(COUNT(E242:G242)&lt;3,"",ROUND(IF(OR(E242=1,F242=1),MIN('Les meg'!$C$25,E242*'Les meg'!$C$21+F242*'Les meg'!$C$22+G242*'Les meg'!$C$23),E242*'Les meg'!$C$21+F242*'Les meg'!$C$22+G242*'Les meg'!$C$23),1))</f>
        <v/>
      </c>
      <c r="I242" s="21" t="n">
        <v>30.5</v>
      </c>
      <c r="J242" s="21" t="n">
        <v>38</v>
      </c>
      <c r="K242" s="21" t="inlineStr">
        <is>
          <t>Tørt, lite folk.</t>
        </is>
      </c>
    </row>
    <row r="243">
      <c r="A243" s="21" t="inlineStr">
        <is>
          <t>USA-HI</t>
        </is>
      </c>
      <c r="B243" s="5">
        <f>IFERROR(INDEX(Destinasjoner!$E$5:$E$64,MATCH(A243,Destinasjoner!$A$5:$A$64,0)),"")</f>
        <v/>
      </c>
      <c r="C243" s="21" t="n">
        <v>11</v>
      </c>
      <c r="D243" s="5">
        <f>IF(C243="","",CHOOSE(C243,"jan","feb","mar","apr","mai","jun","jul","aug","sep","okt","nov","des"))</f>
        <v/>
      </c>
      <c r="E243" s="21" t="n">
        <v>4</v>
      </c>
      <c r="F243" s="21" t="n">
        <v>4</v>
      </c>
      <c r="G243" s="21" t="n">
        <v>3</v>
      </c>
      <c r="H243" s="18">
        <f>IF(COUNT(E243:G243)&lt;3,"",ROUND(IF(OR(E243=1,F243=1),MIN('Les meg'!$C$25,E243*'Les meg'!$C$21+F243*'Les meg'!$C$22+G243*'Les meg'!$C$23),E243*'Les meg'!$C$21+F243*'Les meg'!$C$22+G243*'Les meg'!$C$23),1))</f>
        <v/>
      </c>
      <c r="I243" s="21" t="n">
        <v>28.9</v>
      </c>
      <c r="J243" s="21" t="n">
        <v>57</v>
      </c>
      <c r="K243" s="21" t="inlineStr">
        <is>
          <t>Regntiden starter. Thanksgiving.</t>
        </is>
      </c>
    </row>
    <row r="244">
      <c r="A244" s="21" t="inlineStr">
        <is>
          <t>USA-HI</t>
        </is>
      </c>
      <c r="B244" s="5">
        <f>IFERROR(INDEX(Destinasjoner!$E$5:$E$64,MATCH(A244,Destinasjoner!$A$5:$A$64,0)),"")</f>
        <v/>
      </c>
      <c r="C244" s="21" t="n">
        <v>12</v>
      </c>
      <c r="D244" s="5">
        <f>IF(C244="","",CHOOSE(C244,"jan","feb","mar","apr","mai","jun","jul","aug","sep","okt","nov","des"))</f>
        <v/>
      </c>
      <c r="E244" s="21" t="n">
        <v>4</v>
      </c>
      <c r="F244" s="21" t="n">
        <v>5</v>
      </c>
      <c r="G244" s="21" t="n">
        <v>1</v>
      </c>
      <c r="H244" s="18">
        <f>IF(COUNT(E244:G244)&lt;3,"",ROUND(IF(OR(E244=1,F244=1),MIN('Les meg'!$C$25,E244*'Les meg'!$C$21+F244*'Les meg'!$C$22+G244*'Les meg'!$C$23),E244*'Les meg'!$C$21+F244*'Les meg'!$C$22+G244*'Les meg'!$C$23),1))</f>
        <v/>
      </c>
      <c r="I244" s="21" t="n">
        <v>27.7</v>
      </c>
      <c r="J244" s="21" t="n">
        <v>55</v>
      </c>
      <c r="K244" s="21" t="inlineStr">
        <is>
          <t>Hvalen kommer; jul/nyttår – dyrest.</t>
        </is>
      </c>
    </row>
    <row r="245">
      <c r="A245" s="21" t="inlineStr">
        <is>
          <t>USA-CHS</t>
        </is>
      </c>
      <c r="B245" s="5">
        <f>IFERROR(INDEX(Destinasjoner!$E$5:$E$64,MATCH(A245,Destinasjoner!$A$5:$A$64,0)),"")</f>
        <v/>
      </c>
      <c r="C245" s="21" t="n">
        <v>1</v>
      </c>
      <c r="D245" s="5">
        <f>IF(C245="","",CHOOSE(C245,"jan","feb","mar","apr","mai","jun","jul","aug","sep","okt","nov","des"))</f>
        <v/>
      </c>
      <c r="E245" s="21" t="n">
        <v>3</v>
      </c>
      <c r="F245" s="21" t="n">
        <v>3</v>
      </c>
      <c r="G245" s="21" t="n">
        <v>5</v>
      </c>
      <c r="H245" s="18">
        <f>IF(COUNT(E245:G245)&lt;3,"",ROUND(IF(OR(E245=1,F245=1),MIN('Les meg'!$C$25,E245*'Les meg'!$C$21+F245*'Les meg'!$C$22+G245*'Les meg'!$C$23),E245*'Les meg'!$C$21+F245*'Les meg'!$C$22+G245*'Les meg'!$C$23),1))</f>
        <v/>
      </c>
      <c r="I245" s="21" t="n">
        <v>16</v>
      </c>
      <c r="J245" s="21" t="n">
        <v>84</v>
      </c>
      <c r="K245" s="21" t="inlineStr">
        <is>
          <t>Mildt (16 °C) og stille.</t>
        </is>
      </c>
    </row>
    <row r="246">
      <c r="A246" s="21" t="inlineStr">
        <is>
          <t>USA-CHS</t>
        </is>
      </c>
      <c r="B246" s="5">
        <f>IFERROR(INDEX(Destinasjoner!$E$5:$E$64,MATCH(A246,Destinasjoner!$A$5:$A$64,0)),"")</f>
        <v/>
      </c>
      <c r="C246" s="21" t="n">
        <v>2</v>
      </c>
      <c r="D246" s="5">
        <f>IF(C246="","",CHOOSE(C246,"jan","feb","mar","apr","mai","jun","jul","aug","sep","okt","nov","des"))</f>
        <v/>
      </c>
      <c r="E246" s="21" t="n">
        <v>3</v>
      </c>
      <c r="F246" s="21" t="n">
        <v>3</v>
      </c>
      <c r="G246" s="21" t="n">
        <v>5</v>
      </c>
      <c r="H246" s="18">
        <f>IF(COUNT(E246:G246)&lt;3,"",ROUND(IF(OR(E246=1,F246=1),MIN('Les meg'!$C$25,E246*'Les meg'!$C$21+F246*'Les meg'!$C$22+G246*'Les meg'!$C$23),E246*'Les meg'!$C$21+F246*'Les meg'!$C$22+G246*'Les meg'!$C$23),1))</f>
        <v/>
      </c>
      <c r="I246" s="21" t="n">
        <v>18</v>
      </c>
      <c r="J246" s="21" t="n">
        <v>74</v>
      </c>
      <c r="K246" s="21" t="inlineStr">
        <is>
          <t>Mildt.</t>
        </is>
      </c>
    </row>
    <row r="247">
      <c r="A247" s="21" t="inlineStr">
        <is>
          <t>USA-CHS</t>
        </is>
      </c>
      <c r="B247" s="5">
        <f>IFERROR(INDEX(Destinasjoner!$E$5:$E$64,MATCH(A247,Destinasjoner!$A$5:$A$64,0)),"")</f>
        <v/>
      </c>
      <c r="C247" s="21" t="n">
        <v>3</v>
      </c>
      <c r="D247" s="5">
        <f>IF(C247="","",CHOOSE(C247,"jan","feb","mar","apr","mai","jun","jul","aug","sep","okt","nov","des"))</f>
        <v/>
      </c>
      <c r="E247" s="21" t="n">
        <v>4</v>
      </c>
      <c r="F247" s="21" t="n">
        <v>4</v>
      </c>
      <c r="G247" s="21" t="n">
        <v>3</v>
      </c>
      <c r="H247" s="18">
        <f>IF(COUNT(E247:G247)&lt;3,"",ROUND(IF(OR(E247=1,F247=1),MIN('Les meg'!$C$25,E247*'Les meg'!$C$21+F247*'Les meg'!$C$22+G247*'Les meg'!$C$23),E247*'Les meg'!$C$21+F247*'Les meg'!$C$22+G247*'Les meg'!$C$23),1))</f>
        <v/>
      </c>
      <c r="I247" s="21" t="n">
        <v>21.5</v>
      </c>
      <c r="J247" s="21" t="n">
        <v>87</v>
      </c>
      <c r="K247" s="21" t="inlineStr">
        <is>
          <t>Vår; azaleaer og hager i blomst. St. Patrick's Day i Savannah (17. mars) er stort, men byen er fullbooket.</t>
        </is>
      </c>
    </row>
    <row r="248">
      <c r="A248" s="21" t="inlineStr">
        <is>
          <t>USA-CHS</t>
        </is>
      </c>
      <c r="B248" s="5">
        <f>IFERROR(INDEX(Destinasjoner!$E$5:$E$64,MATCH(A248,Destinasjoner!$A$5:$A$64,0)),"")</f>
        <v/>
      </c>
      <c r="C248" s="21" t="n">
        <v>4</v>
      </c>
      <c r="D248" s="5">
        <f>IF(C248="","",CHOOSE(C248,"jan","feb","mar","apr","mai","jun","jul","aug","sep","okt","nov","des"))</f>
        <v/>
      </c>
      <c r="E248" s="21" t="n">
        <v>5</v>
      </c>
      <c r="F248" s="21" t="n">
        <v>5</v>
      </c>
      <c r="G248" s="21" t="n">
        <v>2</v>
      </c>
      <c r="H248" s="18">
        <f>IF(COUNT(E248:G248)&lt;3,"",ROUND(IF(OR(E248=1,F248=1),MIN('Les meg'!$C$25,E248*'Les meg'!$C$21+F248*'Les meg'!$C$22+G248*'Les meg'!$C$23),E248*'Les meg'!$C$21+F248*'Les meg'!$C$22+G248*'Les meg'!$C$23),1))</f>
        <v/>
      </c>
      <c r="I248" s="21" t="n">
        <v>25.4</v>
      </c>
      <c r="J248" s="21" t="n">
        <v>85</v>
      </c>
      <c r="K248" s="21" t="inlineStr">
        <is>
          <t>Toppsesong: blomstring, behagelig.</t>
        </is>
      </c>
    </row>
    <row r="249">
      <c r="A249" s="21" t="inlineStr">
        <is>
          <t>USA-CHS</t>
        </is>
      </c>
      <c r="B249" s="5">
        <f>IFERROR(INDEX(Destinasjoner!$E$5:$E$64,MATCH(A249,Destinasjoner!$A$5:$A$64,0)),"")</f>
        <v/>
      </c>
      <c r="C249" s="21" t="n">
        <v>5</v>
      </c>
      <c r="D249" s="5">
        <f>IF(C249="","",CHOOSE(C249,"jan","feb","mar","apr","mai","jun","jul","aug","sep","okt","nov","des"))</f>
        <v/>
      </c>
      <c r="E249" s="21" t="n">
        <v>4</v>
      </c>
      <c r="F249" s="21" t="n">
        <v>5</v>
      </c>
      <c r="G249" s="21" t="n">
        <v>3</v>
      </c>
      <c r="H249" s="18">
        <f>IF(COUNT(E249:G249)&lt;3,"",ROUND(IF(OR(E249=1,F249=1),MIN('Les meg'!$C$25,E249*'Les meg'!$C$21+F249*'Les meg'!$C$22+G249*'Les meg'!$C$23),E249*'Les meg'!$C$21+F249*'Les meg'!$C$22+G249*'Les meg'!$C$23),1))</f>
        <v/>
      </c>
      <c r="I249" s="21" t="n">
        <v>29</v>
      </c>
      <c r="J249" s="21" t="n">
        <v>88</v>
      </c>
      <c r="K249" s="21" t="inlineStr">
        <is>
          <t>Varmt. Spoleto Festival USA i Charleston (se Vinduer).</t>
        </is>
      </c>
    </row>
    <row r="250">
      <c r="A250" s="21" t="inlineStr">
        <is>
          <t>USA-CHS</t>
        </is>
      </c>
      <c r="B250" s="5">
        <f>IFERROR(INDEX(Destinasjoner!$E$5:$E$64,MATCH(A250,Destinasjoner!$A$5:$A$64,0)),"")</f>
        <v/>
      </c>
      <c r="C250" s="21" t="n">
        <v>6</v>
      </c>
      <c r="D250" s="5">
        <f>IF(C250="","",CHOOSE(C250,"jan","feb","mar","apr","mai","jun","jul","aug","sep","okt","nov","des"))</f>
        <v/>
      </c>
      <c r="E250" s="21" t="n">
        <v>3</v>
      </c>
      <c r="F250" s="21" t="n">
        <v>4</v>
      </c>
      <c r="G250" s="21" t="n">
        <v>3</v>
      </c>
      <c r="H250" s="18">
        <f>IF(COUNT(E250:G250)&lt;3,"",ROUND(IF(OR(E250=1,F250=1),MIN('Les meg'!$C$25,E250*'Les meg'!$C$21+F250*'Les meg'!$C$22+G250*'Les meg'!$C$23),E250*'Les meg'!$C$21+F250*'Les meg'!$C$22+G250*'Les meg'!$C$23),1))</f>
        <v/>
      </c>
      <c r="I250" s="21" t="n">
        <v>31.7</v>
      </c>
      <c r="J250" s="21" t="n">
        <v>164</v>
      </c>
      <c r="K250" s="21" t="inlineStr">
        <is>
          <t>Varmt og fuktig, tordenbyger.</t>
        </is>
      </c>
    </row>
    <row r="251">
      <c r="A251" s="21" t="inlineStr">
        <is>
          <t>USA-CHS</t>
        </is>
      </c>
      <c r="B251" s="5">
        <f>IFERROR(INDEX(Destinasjoner!$E$5:$E$64,MATCH(A251,Destinasjoner!$A$5:$A$64,0)),"")</f>
        <v/>
      </c>
      <c r="C251" s="21" t="n">
        <v>7</v>
      </c>
      <c r="D251" s="5">
        <f>IF(C251="","",CHOOSE(C251,"jan","feb","mar","apr","mai","jun","jul","aug","sep","okt","nov","des"))</f>
        <v/>
      </c>
      <c r="E251" s="21" t="n">
        <v>2</v>
      </c>
      <c r="F251" s="21" t="n">
        <v>3</v>
      </c>
      <c r="G251" s="21" t="n">
        <v>3</v>
      </c>
      <c r="H251" s="18">
        <f>IF(COUNT(E251:G251)&lt;3,"",ROUND(IF(OR(E251=1,F251=1),MIN('Les meg'!$C$25,E251*'Les meg'!$C$21+F251*'Les meg'!$C$22+G251*'Les meg'!$C$23),E251*'Les meg'!$C$21+F251*'Les meg'!$C$22+G251*'Les meg'!$C$23),1))</f>
        <v/>
      </c>
      <c r="I251" s="21" t="n">
        <v>33.2</v>
      </c>
      <c r="J251" s="21" t="n">
        <v>157</v>
      </c>
      <c r="K251" s="21" t="inlineStr">
        <is>
          <t>Hett og fuktig (33 °C).</t>
        </is>
      </c>
    </row>
    <row r="252">
      <c r="A252" s="21" t="inlineStr">
        <is>
          <t>USA-CHS</t>
        </is>
      </c>
      <c r="B252" s="5">
        <f>IFERROR(INDEX(Destinasjoner!$E$5:$E$64,MATCH(A252,Destinasjoner!$A$5:$A$64,0)),"")</f>
        <v/>
      </c>
      <c r="C252" s="21" t="n">
        <v>8</v>
      </c>
      <c r="D252" s="5">
        <f>IF(C252="","",CHOOSE(C252,"jan","feb","mar","apr","mai","jun","jul","aug","sep","okt","nov","des"))</f>
        <v/>
      </c>
      <c r="E252" s="21" t="n">
        <v>2</v>
      </c>
      <c r="F252" s="21" t="n">
        <v>3</v>
      </c>
      <c r="G252" s="21" t="n">
        <v>4</v>
      </c>
      <c r="H252" s="18">
        <f>IF(COUNT(E252:G252)&lt;3,"",ROUND(IF(OR(E252=1,F252=1),MIN('Les meg'!$C$25,E252*'Les meg'!$C$21+F252*'Les meg'!$C$22+G252*'Les meg'!$C$23),E252*'Les meg'!$C$21+F252*'Les meg'!$C$22+G252*'Les meg'!$C$23),1))</f>
        <v/>
      </c>
      <c r="I252" s="21" t="n">
        <v>32.4</v>
      </c>
      <c r="J252" s="21" t="n">
        <v>158</v>
      </c>
      <c r="K252" s="21" t="inlineStr">
        <is>
          <t>Hett; orkanrisiko.</t>
        </is>
      </c>
    </row>
    <row r="253">
      <c r="A253" s="21" t="inlineStr">
        <is>
          <t>USA-CHS</t>
        </is>
      </c>
      <c r="B253" s="5">
        <f>IFERROR(INDEX(Destinasjoner!$E$5:$E$64,MATCH(A253,Destinasjoner!$A$5:$A$64,0)),"")</f>
        <v/>
      </c>
      <c r="C253" s="21" t="n">
        <v>9</v>
      </c>
      <c r="D253" s="5">
        <f>IF(C253="","",CHOOSE(C253,"jan","feb","mar","apr","mai","jun","jul","aug","sep","okt","nov","des"))</f>
        <v/>
      </c>
      <c r="E253" s="21" t="n">
        <v>3</v>
      </c>
      <c r="F253" s="21" t="n">
        <v>3</v>
      </c>
      <c r="G253" s="21" t="n">
        <v>4</v>
      </c>
      <c r="H253" s="18">
        <f>IF(COUNT(E253:G253)&lt;3,"",ROUND(IF(OR(E253=1,F253=1),MIN('Les meg'!$C$25,E253*'Les meg'!$C$21+F253*'Les meg'!$C$22+G253*'Les meg'!$C$23),E253*'Les meg'!$C$21+F253*'Les meg'!$C$22+G253*'Les meg'!$C$23),1))</f>
        <v/>
      </c>
      <c r="I253" s="21" t="n">
        <v>29.9</v>
      </c>
      <c r="J253" s="21" t="n">
        <v>132</v>
      </c>
      <c r="K253" s="21" t="inlineStr">
        <is>
          <t>Orkansesongens topp.</t>
        </is>
      </c>
    </row>
    <row r="254">
      <c r="A254" s="21" t="inlineStr">
        <is>
          <t>USA-CHS</t>
        </is>
      </c>
      <c r="B254" s="5">
        <f>IFERROR(INDEX(Destinasjoner!$E$5:$E$64,MATCH(A254,Destinasjoner!$A$5:$A$64,0)),"")</f>
        <v/>
      </c>
      <c r="C254" s="21" t="n">
        <v>10</v>
      </c>
      <c r="D254" s="5">
        <f>IF(C254="","",CHOOSE(C254,"jan","feb","mar","apr","mai","jun","jul","aug","sep","okt","nov","des"))</f>
        <v/>
      </c>
      <c r="E254" s="21" t="n">
        <v>5</v>
      </c>
      <c r="F254" s="21" t="n">
        <v>5</v>
      </c>
      <c r="G254" s="21" t="n">
        <v>3</v>
      </c>
      <c r="H254" s="18">
        <f>IF(COUNT(E254:G254)&lt;3,"",ROUND(IF(OR(E254=1,F254=1),MIN('Les meg'!$C$25,E254*'Les meg'!$C$21+F254*'Les meg'!$C$22+G254*'Les meg'!$C$23),E254*'Les meg'!$C$21+F254*'Les meg'!$C$22+G254*'Les meg'!$C$23),1))</f>
        <v/>
      </c>
      <c r="I254" s="21" t="n">
        <v>25.8</v>
      </c>
      <c r="J254" s="21" t="n">
        <v>102</v>
      </c>
      <c r="K254" s="21" t="inlineStr">
        <is>
          <t>Tørrere og behagelig; orkanrisikoen avtar.</t>
        </is>
      </c>
    </row>
    <row r="255">
      <c r="A255" s="21" t="inlineStr">
        <is>
          <t>USA-CHS</t>
        </is>
      </c>
      <c r="B255" s="5">
        <f>IFERROR(INDEX(Destinasjoner!$E$5:$E$64,MATCH(A255,Destinasjoner!$A$5:$A$64,0)),"")</f>
        <v/>
      </c>
      <c r="C255" s="21" t="n">
        <v>11</v>
      </c>
      <c r="D255" s="5">
        <f>IF(C255="","",CHOOSE(C255,"jan","feb","mar","apr","mai","jun","jul","aug","sep","okt","nov","des"))</f>
        <v/>
      </c>
      <c r="E255" s="21" t="n">
        <v>4</v>
      </c>
      <c r="F255" s="21" t="n">
        <v>4</v>
      </c>
      <c r="G255" s="21" t="n">
        <v>4</v>
      </c>
      <c r="H255" s="18">
        <f>IF(COUNT(E255:G255)&lt;3,"",ROUND(IF(OR(E255=1,F255=1),MIN('Les meg'!$C$25,E255*'Les meg'!$C$21+F255*'Les meg'!$C$22+G255*'Les meg'!$C$23),E255*'Les meg'!$C$21+F255*'Les meg'!$C$22+G255*'Les meg'!$C$23),1))</f>
        <v/>
      </c>
      <c r="I255" s="21" t="n">
        <v>21</v>
      </c>
      <c r="J255" s="21" t="n">
        <v>64</v>
      </c>
      <c r="K255" s="21" t="inlineStr">
        <is>
          <t>Mildt og stille.</t>
        </is>
      </c>
    </row>
    <row r="256">
      <c r="A256" s="21" t="inlineStr">
        <is>
          <t>USA-CHS</t>
        </is>
      </c>
      <c r="B256" s="5">
        <f>IFERROR(INDEX(Destinasjoner!$E$5:$E$64,MATCH(A256,Destinasjoner!$A$5:$A$64,0)),"")</f>
        <v/>
      </c>
      <c r="C256" s="21" t="n">
        <v>12</v>
      </c>
      <c r="D256" s="5">
        <f>IF(C256="","",CHOOSE(C256,"jan","feb","mar","apr","mai","jun","jul","aug","sep","okt","nov","des"))</f>
        <v/>
      </c>
      <c r="E256" s="21" t="n">
        <v>3</v>
      </c>
      <c r="F256" s="21" t="n">
        <v>3</v>
      </c>
      <c r="G256" s="21" t="n">
        <v>4</v>
      </c>
      <c r="H256" s="18">
        <f>IF(COUNT(E256:G256)&lt;3,"",ROUND(IF(OR(E256=1,F256=1),MIN('Les meg'!$C$25,E256*'Les meg'!$C$21+F256*'Les meg'!$C$22+G256*'Les meg'!$C$23),E256*'Les meg'!$C$21+F256*'Les meg'!$C$22+G256*'Les meg'!$C$23),1))</f>
        <v/>
      </c>
      <c r="I256" s="21" t="n">
        <v>17.4</v>
      </c>
      <c r="J256" s="21" t="n">
        <v>84</v>
      </c>
      <c r="K256" s="21" t="inlineStr">
        <is>
          <t>Mildt; julepynt.</t>
        </is>
      </c>
    </row>
    <row r="257">
      <c r="A257" s="21" t="inlineStr">
        <is>
          <t>CRI</t>
        </is>
      </c>
      <c r="B257" s="5">
        <f>IFERROR(INDEX(Destinasjoner!$E$5:$E$64,MATCH(A257,Destinasjoner!$A$5:$A$64,0)),"")</f>
        <v/>
      </c>
      <c r="C257" s="21" t="n">
        <v>1</v>
      </c>
      <c r="D257" s="5">
        <f>IF(C257="","",CHOOSE(C257,"jan","feb","mar","apr","mai","jun","jul","aug","sep","okt","nov","des"))</f>
        <v/>
      </c>
      <c r="E257" s="21" t="n">
        <v>5</v>
      </c>
      <c r="F257" s="21" t="n">
        <v>5</v>
      </c>
      <c r="G257" s="21" t="n">
        <v>2</v>
      </c>
      <c r="H257" s="18">
        <f>IF(COUNT(E257:G257)&lt;3,"",ROUND(IF(OR(E257=1,F257=1),MIN('Les meg'!$C$25,E257*'Les meg'!$C$21+F257*'Les meg'!$C$22+G257*'Les meg'!$C$23),E257*'Les meg'!$C$21+F257*'Les meg'!$C$22+G257*'Les meg'!$C$23),1))</f>
        <v/>
      </c>
      <c r="I257" s="21" t="n">
        <v>33.4</v>
      </c>
      <c r="J257" s="21" t="n">
        <v>1</v>
      </c>
      <c r="K257" s="21" t="inlineStr">
        <is>
          <t>Tørrsesong, vind på Stillehavssiden. Høysesong.</t>
        </is>
      </c>
    </row>
    <row r="258">
      <c r="A258" s="21" t="inlineStr">
        <is>
          <t>CRI</t>
        </is>
      </c>
      <c r="B258" s="5">
        <f>IFERROR(INDEX(Destinasjoner!$E$5:$E$64,MATCH(A258,Destinasjoner!$A$5:$A$64,0)),"")</f>
        <v/>
      </c>
      <c r="C258" s="21" t="n">
        <v>2</v>
      </c>
      <c r="D258" s="5">
        <f>IF(C258="","",CHOOSE(C258,"jan","feb","mar","apr","mai","jun","jul","aug","sep","okt","nov","des"))</f>
        <v/>
      </c>
      <c r="E258" s="21" t="n">
        <v>5</v>
      </c>
      <c r="F258" s="21" t="n">
        <v>5</v>
      </c>
      <c r="G258" s="21" t="n">
        <v>2</v>
      </c>
      <c r="H258" s="18">
        <f>IF(COUNT(E258:G258)&lt;3,"",ROUND(IF(OR(E258=1,F258=1),MIN('Les meg'!$C$25,E258*'Les meg'!$C$21+F258*'Les meg'!$C$22+G258*'Les meg'!$C$23),E258*'Les meg'!$C$21+F258*'Les meg'!$C$22+G258*'Les meg'!$C$23),1))</f>
        <v/>
      </c>
      <c r="I258" s="21" t="n">
        <v>34.4</v>
      </c>
      <c r="J258" s="21" t="n">
        <v>2</v>
      </c>
      <c r="K258" s="21" t="inlineStr">
        <is>
          <t>Tørrsesong.</t>
        </is>
      </c>
    </row>
    <row r="259">
      <c r="A259" s="21" t="inlineStr">
        <is>
          <t>CRI</t>
        </is>
      </c>
      <c r="B259" s="5">
        <f>IFERROR(INDEX(Destinasjoner!$E$5:$E$64,MATCH(A259,Destinasjoner!$A$5:$A$64,0)),"")</f>
        <v/>
      </c>
      <c r="C259" s="21" t="n">
        <v>3</v>
      </c>
      <c r="D259" s="5">
        <f>IF(C259="","",CHOOSE(C259,"jan","feb","mar","apr","mai","jun","jul","aug","sep","okt","nov","des"))</f>
        <v/>
      </c>
      <c r="E259" s="21" t="n">
        <v>5</v>
      </c>
      <c r="F259" s="21" t="n">
        <v>5</v>
      </c>
      <c r="G259" s="21" t="n">
        <v>2</v>
      </c>
      <c r="H259" s="18">
        <f>IF(COUNT(E259:G259)&lt;3,"",ROUND(IF(OR(E259=1,F259=1),MIN('Les meg'!$C$25,E259*'Les meg'!$C$21+F259*'Les meg'!$C$22+G259*'Les meg'!$C$23),E259*'Les meg'!$C$21+F259*'Les meg'!$C$22+G259*'Les meg'!$C$23),1))</f>
        <v/>
      </c>
      <c r="I259" s="21" t="n">
        <v>35.4</v>
      </c>
      <c r="J259" s="21" t="n">
        <v>4</v>
      </c>
      <c r="K259" s="21" t="inlineStr">
        <is>
          <t>Tørt og varmest. Semana Santa (se Vinduer).</t>
        </is>
      </c>
    </row>
    <row r="260">
      <c r="A260" s="21" t="inlineStr">
        <is>
          <t>CRI</t>
        </is>
      </c>
      <c r="B260" s="5">
        <f>IFERROR(INDEX(Destinasjoner!$E$5:$E$64,MATCH(A260,Destinasjoner!$A$5:$A$64,0)),"")</f>
        <v/>
      </c>
      <c r="C260" s="21" t="n">
        <v>4</v>
      </c>
      <c r="D260" s="5">
        <f>IF(C260="","",CHOOSE(C260,"jan","feb","mar","apr","mai","jun","jul","aug","sep","okt","nov","des"))</f>
        <v/>
      </c>
      <c r="E260" s="21" t="n">
        <v>4</v>
      </c>
      <c r="F260" s="21" t="n">
        <v>4</v>
      </c>
      <c r="G260" s="21" t="n">
        <v>3</v>
      </c>
      <c r="H260" s="18">
        <f>IF(COUNT(E260:G260)&lt;3,"",ROUND(IF(OR(E260=1,F260=1),MIN('Les meg'!$C$25,E260*'Les meg'!$C$21+F260*'Les meg'!$C$22+G260*'Les meg'!$C$23),E260*'Les meg'!$C$21+F260*'Les meg'!$C$22+G260*'Les meg'!$C$23),1))</f>
        <v/>
      </c>
      <c r="I260" s="21" t="n">
        <v>35.9</v>
      </c>
      <c r="J260" s="21" t="n">
        <v>24</v>
      </c>
      <c r="K260" s="21" t="inlineStr">
        <is>
          <t>Varmt og tørt; regnet kan starte.</t>
        </is>
      </c>
    </row>
    <row r="261">
      <c r="A261" s="21" t="inlineStr">
        <is>
          <t>CRI</t>
        </is>
      </c>
      <c r="B261" s="5">
        <f>IFERROR(INDEX(Destinasjoner!$E$5:$E$64,MATCH(A261,Destinasjoner!$A$5:$A$64,0)),"")</f>
        <v/>
      </c>
      <c r="C261" s="21" t="n">
        <v>5</v>
      </c>
      <c r="D261" s="5">
        <f>IF(C261="","",CHOOSE(C261,"jan","feb","mar","apr","mai","jun","jul","aug","sep","okt","nov","des"))</f>
        <v/>
      </c>
      <c r="E261" s="21" t="n">
        <v>3</v>
      </c>
      <c r="F261" s="21" t="n">
        <v>3</v>
      </c>
      <c r="G261" s="21" t="n">
        <v>4</v>
      </c>
      <c r="H261" s="18">
        <f>IF(COUNT(E261:G261)&lt;3,"",ROUND(IF(OR(E261=1,F261=1),MIN('Les meg'!$C$25,E261*'Les meg'!$C$21+F261*'Les meg'!$C$22+G261*'Les meg'!$C$23),E261*'Les meg'!$C$21+F261*'Les meg'!$C$22+G261*'Les meg'!$C$23),1))</f>
        <v/>
      </c>
      <c r="I261" s="21" t="n">
        <v>33.9</v>
      </c>
      <c r="J261" s="21" t="n">
        <v>194</v>
      </c>
      <c r="K261" s="21" t="inlineStr">
        <is>
          <t>Grønn sesong starter, ettermiddagsbyger.</t>
        </is>
      </c>
    </row>
    <row r="262">
      <c r="A262" s="21" t="inlineStr">
        <is>
          <t>CRI</t>
        </is>
      </c>
      <c r="B262" s="5">
        <f>IFERROR(INDEX(Destinasjoner!$E$5:$E$64,MATCH(A262,Destinasjoner!$A$5:$A$64,0)),"")</f>
        <v/>
      </c>
      <c r="C262" s="21" t="n">
        <v>6</v>
      </c>
      <c r="D262" s="5">
        <f>IF(C262="","",CHOOSE(C262,"jan","feb","mar","apr","mai","jun","jul","aug","sep","okt","nov","des"))</f>
        <v/>
      </c>
      <c r="E262" s="21" t="n">
        <v>3</v>
      </c>
      <c r="F262" s="21" t="n">
        <v>4</v>
      </c>
      <c r="G262" s="21" t="n">
        <v>4</v>
      </c>
      <c r="H262" s="18">
        <f>IF(COUNT(E262:G262)&lt;3,"",ROUND(IF(OR(E262=1,F262=1),MIN('Les meg'!$C$25,E262*'Les meg'!$C$21+F262*'Les meg'!$C$22+G262*'Les meg'!$C$23),E262*'Les meg'!$C$21+F262*'Les meg'!$C$22+G262*'Les meg'!$C$23),1))</f>
        <v/>
      </c>
      <c r="I262" s="21" t="n">
        <v>32</v>
      </c>
      <c r="J262" s="21" t="n">
        <v>246</v>
      </c>
      <c r="K262" s="21" t="inlineStr">
        <is>
          <t>Grønt, byger.</t>
        </is>
      </c>
    </row>
    <row r="263">
      <c r="A263" s="21" t="inlineStr">
        <is>
          <t>CRI</t>
        </is>
      </c>
      <c r="B263" s="5">
        <f>IFERROR(INDEX(Destinasjoner!$E$5:$E$64,MATCH(A263,Destinasjoner!$A$5:$A$64,0)),"")</f>
        <v/>
      </c>
      <c r="C263" s="21" t="n">
        <v>7</v>
      </c>
      <c r="D263" s="5">
        <f>IF(C263="","",CHOOSE(C263,"jan","feb","mar","apr","mai","jun","jul","aug","sep","okt","nov","des"))</f>
        <v/>
      </c>
      <c r="E263" s="21" t="n">
        <v>4</v>
      </c>
      <c r="F263" s="21" t="n">
        <v>4</v>
      </c>
      <c r="G263" s="21" t="n">
        <v>3</v>
      </c>
      <c r="H263" s="18">
        <f>IF(COUNT(E263:G263)&lt;3,"",ROUND(IF(OR(E263=1,F263=1),MIN('Les meg'!$C$25,E263*'Les meg'!$C$21+F263*'Les meg'!$C$22+G263*'Les meg'!$C$23),E263*'Les meg'!$C$21+F263*'Les meg'!$C$22+G263*'Les meg'!$C$23),1))</f>
        <v/>
      </c>
      <c r="I263" s="21" t="n">
        <v>32.1</v>
      </c>
      <c r="J263" s="21" t="n">
        <v>153</v>
      </c>
      <c r="K263" s="21" t="inlineStr">
        <is>
          <t>«Veranillo» (tørrere periode); skilpadder i Tortuguero.</t>
        </is>
      </c>
    </row>
    <row r="264">
      <c r="A264" s="21" t="inlineStr">
        <is>
          <t>CRI</t>
        </is>
      </c>
      <c r="B264" s="5">
        <f>IFERROR(INDEX(Destinasjoner!$E$5:$E$64,MATCH(A264,Destinasjoner!$A$5:$A$64,0)),"")</f>
        <v/>
      </c>
      <c r="C264" s="21" t="n">
        <v>8</v>
      </c>
      <c r="D264" s="5">
        <f>IF(C264="","",CHOOSE(C264,"jan","feb","mar","apr","mai","jun","jul","aug","sep","okt","nov","des"))</f>
        <v/>
      </c>
      <c r="E264" s="21" t="n">
        <v>3</v>
      </c>
      <c r="F264" s="21" t="n">
        <v>4</v>
      </c>
      <c r="G264" s="21" t="n">
        <v>4</v>
      </c>
      <c r="H264" s="18">
        <f>IF(COUNT(E264:G264)&lt;3,"",ROUND(IF(OR(E264=1,F264=1),MIN('Les meg'!$C$25,E264*'Les meg'!$C$21+F264*'Les meg'!$C$22+G264*'Les meg'!$C$23),E264*'Les meg'!$C$21+F264*'Les meg'!$C$22+G264*'Les meg'!$C$23),1))</f>
        <v/>
      </c>
      <c r="I264" s="21" t="n">
        <v>32.1</v>
      </c>
      <c r="J264" s="21" t="n">
        <v>209</v>
      </c>
      <c r="K264" s="21" t="inlineStr">
        <is>
          <t>Byger; hval ved Uvita, skilpadder.</t>
        </is>
      </c>
    </row>
    <row r="265">
      <c r="A265" s="21" t="inlineStr">
        <is>
          <t>CRI</t>
        </is>
      </c>
      <c r="B265" s="5">
        <f>IFERROR(INDEX(Destinasjoner!$E$5:$E$64,MATCH(A265,Destinasjoner!$A$5:$A$64,0)),"")</f>
        <v/>
      </c>
      <c r="C265" s="21" t="n">
        <v>9</v>
      </c>
      <c r="D265" s="5">
        <f>IF(C265="","",CHOOSE(C265,"jan","feb","mar","apr","mai","jun","jul","aug","sep","okt","nov","des"))</f>
        <v/>
      </c>
      <c r="E265" s="21" t="n">
        <v>2</v>
      </c>
      <c r="F265" s="21" t="n">
        <v>3</v>
      </c>
      <c r="G265" s="21" t="n">
        <v>5</v>
      </c>
      <c r="H265" s="18">
        <f>IF(COUNT(E265:G265)&lt;3,"",ROUND(IF(OR(E265=1,F265=1),MIN('Les meg'!$C$25,E265*'Les meg'!$C$21+F265*'Les meg'!$C$22+G265*'Les meg'!$C$23),E265*'Les meg'!$C$21+F265*'Les meg'!$C$22+G265*'Les meg'!$C$23),1))</f>
        <v/>
      </c>
      <c r="I265" s="21" t="n">
        <v>31.3</v>
      </c>
      <c r="J265" s="21" t="n">
        <v>346</v>
      </c>
      <c r="K265" s="21" t="inlineStr">
        <is>
          <t>Mest regn på Stillehavssiden; Karibia-siden fin.</t>
        </is>
      </c>
    </row>
    <row r="266">
      <c r="A266" s="21" t="inlineStr">
        <is>
          <t>CRI</t>
        </is>
      </c>
      <c r="B266" s="5">
        <f>IFERROR(INDEX(Destinasjoner!$E$5:$E$64,MATCH(A266,Destinasjoner!$A$5:$A$64,0)),"")</f>
        <v/>
      </c>
      <c r="C266" s="21" t="n">
        <v>10</v>
      </c>
      <c r="D266" s="5">
        <f>IF(C266="","",CHOOSE(C266,"jan","feb","mar","apr","mai","jun","jul","aug","sep","okt","nov","des"))</f>
        <v/>
      </c>
      <c r="E266" s="21" t="n">
        <v>2</v>
      </c>
      <c r="F266" s="21" t="n">
        <v>3</v>
      </c>
      <c r="G266" s="21" t="n">
        <v>5</v>
      </c>
      <c r="H266" s="18">
        <f>IF(COUNT(E266:G266)&lt;3,"",ROUND(IF(OR(E266=1,F266=1),MIN('Les meg'!$C$25,E266*'Les meg'!$C$21+F266*'Les meg'!$C$22+G266*'Les meg'!$C$23),E266*'Les meg'!$C$21+F266*'Les meg'!$C$22+G266*'Les meg'!$C$23),1))</f>
        <v/>
      </c>
      <c r="I266" s="21" t="n">
        <v>30.9</v>
      </c>
      <c r="J266" s="21" t="n">
        <v>310</v>
      </c>
      <c r="K266" s="21" t="inlineStr">
        <is>
          <t>Regnfullt; Karibia-siden fin.</t>
        </is>
      </c>
    </row>
    <row r="267">
      <c r="A267" s="21" t="inlineStr">
        <is>
          <t>CRI</t>
        </is>
      </c>
      <c r="B267" s="5">
        <f>IFERROR(INDEX(Destinasjoner!$E$5:$E$64,MATCH(A267,Destinasjoner!$A$5:$A$64,0)),"")</f>
        <v/>
      </c>
      <c r="C267" s="21" t="n">
        <v>11</v>
      </c>
      <c r="D267" s="5">
        <f>IF(C267="","",CHOOSE(C267,"jan","feb","mar","apr","mai","jun","jul","aug","sep","okt","nov","des"))</f>
        <v/>
      </c>
      <c r="E267" s="21" t="n">
        <v>3</v>
      </c>
      <c r="F267" s="21" t="n">
        <v>3</v>
      </c>
      <c r="G267" s="21" t="n">
        <v>4</v>
      </c>
      <c r="H267" s="18">
        <f>IF(COUNT(E267:G267)&lt;3,"",ROUND(IF(OR(E267=1,F267=1),MIN('Les meg'!$C$25,E267*'Les meg'!$C$21+F267*'Les meg'!$C$22+G267*'Les meg'!$C$23),E267*'Les meg'!$C$21+F267*'Les meg'!$C$22+G267*'Les meg'!$C$23),1))</f>
        <v/>
      </c>
      <c r="I267" s="21" t="n">
        <v>31.6</v>
      </c>
      <c r="J267" s="21" t="n">
        <v>98</v>
      </c>
      <c r="K267" s="21" t="inlineStr">
        <is>
          <t>Regnet avtar.</t>
        </is>
      </c>
    </row>
    <row r="268">
      <c r="A268" s="21" t="inlineStr">
        <is>
          <t>CRI</t>
        </is>
      </c>
      <c r="B268" s="5">
        <f>IFERROR(INDEX(Destinasjoner!$E$5:$E$64,MATCH(A268,Destinasjoner!$A$5:$A$64,0)),"")</f>
        <v/>
      </c>
      <c r="C268" s="21" t="n">
        <v>12</v>
      </c>
      <c r="D268" s="5">
        <f>IF(C268="","",CHOOSE(C268,"jan","feb","mar","apr","mai","jun","jul","aug","sep","okt","nov","des"))</f>
        <v/>
      </c>
      <c r="E268" s="21" t="n">
        <v>4</v>
      </c>
      <c r="F268" s="21" t="n">
        <v>5</v>
      </c>
      <c r="G268" s="21" t="n">
        <v>2</v>
      </c>
      <c r="H268" s="18">
        <f>IF(COUNT(E268:G268)&lt;3,"",ROUND(IF(OR(E268=1,F268=1),MIN('Les meg'!$C$25,E268*'Les meg'!$C$21+F268*'Les meg'!$C$22+G268*'Les meg'!$C$23),E268*'Les meg'!$C$21+F268*'Les meg'!$C$22+G268*'Les meg'!$C$23),1))</f>
        <v/>
      </c>
      <c r="I268" s="21" t="n">
        <v>32.5</v>
      </c>
      <c r="J268" s="21" t="n">
        <v>12</v>
      </c>
      <c r="K268" s="21" t="inlineStr">
        <is>
          <t>Tørrsesongen starter; jul/nyttår dyrt.</t>
        </is>
      </c>
    </row>
    <row r="269">
      <c r="A269" s="21" t="inlineStr">
        <is>
          <t>PAN</t>
        </is>
      </c>
      <c r="B269" s="5">
        <f>IFERROR(INDEX(Destinasjoner!$E$5:$E$64,MATCH(A269,Destinasjoner!$A$5:$A$64,0)),"")</f>
        <v/>
      </c>
      <c r="C269" s="21" t="n">
        <v>1</v>
      </c>
      <c r="D269" s="5">
        <f>IF(C269="","",CHOOSE(C269,"jan","feb","mar","apr","mai","jun","jul","aug","sep","okt","nov","des"))</f>
        <v/>
      </c>
      <c r="E269" s="21" t="n">
        <v>5</v>
      </c>
      <c r="F269" s="21" t="n">
        <v>5</v>
      </c>
      <c r="G269" s="21" t="n">
        <v>3</v>
      </c>
      <c r="H269" s="18">
        <f>IF(COUNT(E269:G269)&lt;3,"",ROUND(IF(OR(E269=1,F269=1),MIN('Les meg'!$C$25,E269*'Les meg'!$C$21+F269*'Les meg'!$C$22+G269*'Les meg'!$C$23),E269*'Les meg'!$C$21+F269*'Les meg'!$C$22+G269*'Les meg'!$C$23),1))</f>
        <v/>
      </c>
      <c r="I269" s="21" t="n">
        <v>32.2</v>
      </c>
      <c r="J269" s="21" t="n">
        <v>24</v>
      </c>
      <c r="K269" s="21" t="inlineStr">
        <is>
          <t>Tørrsesong, passatvind.</t>
        </is>
      </c>
    </row>
    <row r="270">
      <c r="A270" s="21" t="inlineStr">
        <is>
          <t>PAN</t>
        </is>
      </c>
      <c r="B270" s="5">
        <f>IFERROR(INDEX(Destinasjoner!$E$5:$E$64,MATCH(A270,Destinasjoner!$A$5:$A$64,0)),"")</f>
        <v/>
      </c>
      <c r="C270" s="21" t="n">
        <v>2</v>
      </c>
      <c r="D270" s="5">
        <f>IF(C270="","",CHOOSE(C270,"jan","feb","mar","apr","mai","jun","jul","aug","sep","okt","nov","des"))</f>
        <v/>
      </c>
      <c r="E270" s="21" t="n">
        <v>5</v>
      </c>
      <c r="F270" s="21" t="n">
        <v>5</v>
      </c>
      <c r="G270" s="21" t="n">
        <v>3</v>
      </c>
      <c r="H270" s="18">
        <f>IF(COUNT(E270:G270)&lt;3,"",ROUND(IF(OR(E270=1,F270=1),MIN('Les meg'!$C$25,E270*'Les meg'!$C$21+F270*'Les meg'!$C$22+G270*'Les meg'!$C$23),E270*'Les meg'!$C$21+F270*'Les meg'!$C$22+G270*'Les meg'!$C$23),1))</f>
        <v/>
      </c>
      <c r="I270" s="21" t="n">
        <v>32.7</v>
      </c>
      <c r="J270" s="21" t="n">
        <v>12</v>
      </c>
      <c r="K270" s="21" t="inlineStr">
        <is>
          <t>Tørt. Karneval.</t>
        </is>
      </c>
    </row>
    <row r="271">
      <c r="A271" s="21" t="inlineStr">
        <is>
          <t>PAN</t>
        </is>
      </c>
      <c r="B271" s="5">
        <f>IFERROR(INDEX(Destinasjoner!$E$5:$E$64,MATCH(A271,Destinasjoner!$A$5:$A$64,0)),"")</f>
        <v/>
      </c>
      <c r="C271" s="21" t="n">
        <v>3</v>
      </c>
      <c r="D271" s="5">
        <f>IF(C271="","",CHOOSE(C271,"jan","feb","mar","apr","mai","jun","jul","aug","sep","okt","nov","des"))</f>
        <v/>
      </c>
      <c r="E271" s="21" t="n">
        <v>5</v>
      </c>
      <c r="F271" s="21" t="n">
        <v>5</v>
      </c>
      <c r="G271" s="21" t="n">
        <v>3</v>
      </c>
      <c r="H271" s="18">
        <f>IF(COUNT(E271:G271)&lt;3,"",ROUND(IF(OR(E271=1,F271=1),MIN('Les meg'!$C$25,E271*'Les meg'!$C$21+F271*'Les meg'!$C$22+G271*'Les meg'!$C$23),E271*'Les meg'!$C$21+F271*'Les meg'!$C$22+G271*'Les meg'!$C$23),1))</f>
        <v/>
      </c>
      <c r="I271" s="21" t="n">
        <v>33.2</v>
      </c>
      <c r="J271" s="21" t="n">
        <v>14</v>
      </c>
      <c r="K271" s="21" t="inlineStr">
        <is>
          <t>Tørt.</t>
        </is>
      </c>
    </row>
    <row r="272">
      <c r="A272" s="21" t="inlineStr">
        <is>
          <t>PAN</t>
        </is>
      </c>
      <c r="B272" s="5">
        <f>IFERROR(INDEX(Destinasjoner!$E$5:$E$64,MATCH(A272,Destinasjoner!$A$5:$A$64,0)),"")</f>
        <v/>
      </c>
      <c r="C272" s="21" t="n">
        <v>4</v>
      </c>
      <c r="D272" s="5">
        <f>IF(C272="","",CHOOSE(C272,"jan","feb","mar","apr","mai","jun","jul","aug","sep","okt","nov","des"))</f>
        <v/>
      </c>
      <c r="E272" s="21" t="n">
        <v>4</v>
      </c>
      <c r="F272" s="21" t="n">
        <v>4</v>
      </c>
      <c r="G272" s="21" t="n">
        <v>4</v>
      </c>
      <c r="H272" s="18">
        <f>IF(COUNT(E272:G272)&lt;3,"",ROUND(IF(OR(E272=1,F272=1),MIN('Les meg'!$C$25,E272*'Les meg'!$C$21+F272*'Les meg'!$C$22+G272*'Les meg'!$C$23),E272*'Les meg'!$C$21+F272*'Les meg'!$C$22+G272*'Les meg'!$C$23),1))</f>
        <v/>
      </c>
      <c r="I272" s="21" t="n">
        <v>33.4</v>
      </c>
      <c r="J272" s="21" t="n">
        <v>71</v>
      </c>
      <c r="K272" s="21" t="inlineStr">
        <is>
          <t>Varmt; regnet starter mot slutten.</t>
        </is>
      </c>
    </row>
    <row r="273">
      <c r="A273" s="21" t="inlineStr">
        <is>
          <t>PAN</t>
        </is>
      </c>
      <c r="B273" s="5">
        <f>IFERROR(INDEX(Destinasjoner!$E$5:$E$64,MATCH(A273,Destinasjoner!$A$5:$A$64,0)),"")</f>
        <v/>
      </c>
      <c r="C273" s="21" t="n">
        <v>5</v>
      </c>
      <c r="D273" s="5">
        <f>IF(C273="","",CHOOSE(C273,"jan","feb","mar","apr","mai","jun","jul","aug","sep","okt","nov","des"))</f>
        <v/>
      </c>
      <c r="E273" s="21" t="n">
        <v>3</v>
      </c>
      <c r="F273" s="21" t="n">
        <v>3</v>
      </c>
      <c r="G273" s="21" t="n">
        <v>4</v>
      </c>
      <c r="H273" s="18">
        <f>IF(COUNT(E273:G273)&lt;3,"",ROUND(IF(OR(E273=1,F273=1),MIN('Les meg'!$C$25,E273*'Les meg'!$C$21+F273*'Les meg'!$C$22+G273*'Les meg'!$C$23),E273*'Les meg'!$C$21+F273*'Les meg'!$C$22+G273*'Les meg'!$C$23),1))</f>
        <v/>
      </c>
      <c r="I273" s="21" t="n">
        <v>32.4</v>
      </c>
      <c r="J273" s="21" t="n">
        <v>222</v>
      </c>
      <c r="K273" s="21" t="inlineStr">
        <is>
          <t>Regntiden starter.</t>
        </is>
      </c>
    </row>
    <row r="274">
      <c r="A274" s="21" t="inlineStr">
        <is>
          <t>PAN</t>
        </is>
      </c>
      <c r="B274" s="5">
        <f>IFERROR(INDEX(Destinasjoner!$E$5:$E$64,MATCH(A274,Destinasjoner!$A$5:$A$64,0)),"")</f>
        <v/>
      </c>
      <c r="C274" s="21" t="n">
        <v>6</v>
      </c>
      <c r="D274" s="5">
        <f>IF(C274="","",CHOOSE(C274,"jan","feb","mar","apr","mai","jun","jul","aug","sep","okt","nov","des"))</f>
        <v/>
      </c>
      <c r="E274" s="21" t="n">
        <v>3</v>
      </c>
      <c r="F274" s="21" t="n">
        <v>3</v>
      </c>
      <c r="G274" s="21" t="n">
        <v>5</v>
      </c>
      <c r="H274" s="18">
        <f>IF(COUNT(E274:G274)&lt;3,"",ROUND(IF(OR(E274=1,F274=1),MIN('Les meg'!$C$25,E274*'Les meg'!$C$21+F274*'Les meg'!$C$22+G274*'Les meg'!$C$23),E274*'Les meg'!$C$21+F274*'Les meg'!$C$22+G274*'Les meg'!$C$23),1))</f>
        <v/>
      </c>
      <c r="I274" s="21" t="n">
        <v>31.8</v>
      </c>
      <c r="J274" s="21" t="n">
        <v>242</v>
      </c>
      <c r="K274" s="21" t="inlineStr">
        <is>
          <t>Regntid.</t>
        </is>
      </c>
    </row>
    <row r="275">
      <c r="A275" s="21" t="inlineStr">
        <is>
          <t>PAN</t>
        </is>
      </c>
      <c r="B275" s="5">
        <f>IFERROR(INDEX(Destinasjoner!$E$5:$E$64,MATCH(A275,Destinasjoner!$A$5:$A$64,0)),"")</f>
        <v/>
      </c>
      <c r="C275" s="21" t="n">
        <v>7</v>
      </c>
      <c r="D275" s="5">
        <f>IF(C275="","",CHOOSE(C275,"jan","feb","mar","apr","mai","jun","jul","aug","sep","okt","nov","des"))</f>
        <v/>
      </c>
      <c r="E275" s="21" t="n">
        <v>3</v>
      </c>
      <c r="F275" s="21" t="n">
        <v>3</v>
      </c>
      <c r="G275" s="21" t="n">
        <v>4</v>
      </c>
      <c r="H275" s="18">
        <f>IF(COUNT(E275:G275)&lt;3,"",ROUND(IF(OR(E275=1,F275=1),MIN('Les meg'!$C$25,E275*'Les meg'!$C$21+F275*'Les meg'!$C$22+G275*'Les meg'!$C$23),E275*'Les meg'!$C$21+F275*'Les meg'!$C$22+G275*'Les meg'!$C$23),1))</f>
        <v/>
      </c>
      <c r="I275" s="21" t="n">
        <v>31.8</v>
      </c>
      <c r="J275" s="21" t="n">
        <v>190</v>
      </c>
      <c r="K275" s="21" t="inlineStr">
        <is>
          <t>Regntid, ofte sol om morgenen.</t>
        </is>
      </c>
    </row>
    <row r="276">
      <c r="A276" s="21" t="inlineStr">
        <is>
          <t>PAN</t>
        </is>
      </c>
      <c r="B276" s="5">
        <f>IFERROR(INDEX(Destinasjoner!$E$5:$E$64,MATCH(A276,Destinasjoner!$A$5:$A$64,0)),"")</f>
        <v/>
      </c>
      <c r="C276" s="21" t="n">
        <v>8</v>
      </c>
      <c r="D276" s="5">
        <f>IF(C276="","",CHOOSE(C276,"jan","feb","mar","apr","mai","jun","jul","aug","sep","okt","nov","des"))</f>
        <v/>
      </c>
      <c r="E276" s="21" t="n">
        <v>3</v>
      </c>
      <c r="F276" s="21" t="n">
        <v>3</v>
      </c>
      <c r="G276" s="21" t="n">
        <v>4</v>
      </c>
      <c r="H276" s="18">
        <f>IF(COUNT(E276:G276)&lt;3,"",ROUND(IF(OR(E276=1,F276=1),MIN('Les meg'!$C$25,E276*'Les meg'!$C$21+F276*'Les meg'!$C$22+G276*'Les meg'!$C$23),E276*'Les meg'!$C$21+F276*'Les meg'!$C$22+G276*'Les meg'!$C$23),1))</f>
        <v/>
      </c>
      <c r="I276" s="21" t="n">
        <v>31.9</v>
      </c>
      <c r="J276" s="21" t="n">
        <v>221</v>
      </c>
      <c r="K276" s="21" t="inlineStr">
        <is>
          <t>Regntid.</t>
        </is>
      </c>
    </row>
    <row r="277">
      <c r="A277" s="21" t="inlineStr">
        <is>
          <t>PAN</t>
        </is>
      </c>
      <c r="B277" s="5">
        <f>IFERROR(INDEX(Destinasjoner!$E$5:$E$64,MATCH(A277,Destinasjoner!$A$5:$A$64,0)),"")</f>
        <v/>
      </c>
      <c r="C277" s="21" t="n">
        <v>9</v>
      </c>
      <c r="D277" s="5">
        <f>IF(C277="","",CHOOSE(C277,"jan","feb","mar","apr","mai","jun","jul","aug","sep","okt","nov","des"))</f>
        <v/>
      </c>
      <c r="E277" s="21" t="n">
        <v>2</v>
      </c>
      <c r="F277" s="21" t="n">
        <v>3</v>
      </c>
      <c r="G277" s="21" t="n">
        <v>5</v>
      </c>
      <c r="H277" s="18">
        <f>IF(COUNT(E277:G277)&lt;3,"",ROUND(IF(OR(E277=1,F277=1),MIN('Les meg'!$C$25,E277*'Les meg'!$C$21+F277*'Les meg'!$C$22+G277*'Les meg'!$C$23),E277*'Les meg'!$C$21+F277*'Les meg'!$C$22+G277*'Les meg'!$C$23),1))</f>
        <v/>
      </c>
      <c r="I277" s="21" t="n">
        <v>31.4</v>
      </c>
      <c r="J277" s="21" t="n">
        <v>268</v>
      </c>
      <c r="K277" s="21" t="inlineStr">
        <is>
          <t>Vått.</t>
        </is>
      </c>
    </row>
    <row r="278">
      <c r="A278" s="21" t="inlineStr">
        <is>
          <t>PAN</t>
        </is>
      </c>
      <c r="B278" s="5">
        <f>IFERROR(INDEX(Destinasjoner!$E$5:$E$64,MATCH(A278,Destinasjoner!$A$5:$A$64,0)),"")</f>
        <v/>
      </c>
      <c r="C278" s="21" t="n">
        <v>10</v>
      </c>
      <c r="D278" s="5">
        <f>IF(C278="","",CHOOSE(C278,"jan","feb","mar","apr","mai","jun","jul","aug","sep","okt","nov","des"))</f>
        <v/>
      </c>
      <c r="E278" s="21" t="n">
        <v>2</v>
      </c>
      <c r="F278" s="21" t="n">
        <v>2</v>
      </c>
      <c r="G278" s="21" t="n">
        <v>5</v>
      </c>
      <c r="H278" s="18">
        <f>IF(COUNT(E278:G278)&lt;3,"",ROUND(IF(OR(E278=1,F278=1),MIN('Les meg'!$C$25,E278*'Les meg'!$C$21+F278*'Les meg'!$C$22+G278*'Les meg'!$C$23),E278*'Les meg'!$C$21+F278*'Les meg'!$C$22+G278*'Les meg'!$C$23),1))</f>
        <v/>
      </c>
      <c r="I278" s="21" t="n">
        <v>31.1</v>
      </c>
      <c r="J278" s="21" t="n">
        <v>311</v>
      </c>
      <c r="K278" s="21" t="inlineStr">
        <is>
          <t>Mest regn.</t>
        </is>
      </c>
    </row>
    <row r="279">
      <c r="A279" s="21" t="inlineStr">
        <is>
          <t>PAN</t>
        </is>
      </c>
      <c r="B279" s="5">
        <f>IFERROR(INDEX(Destinasjoner!$E$5:$E$64,MATCH(A279,Destinasjoner!$A$5:$A$64,0)),"")</f>
        <v/>
      </c>
      <c r="C279" s="21" t="n">
        <v>11</v>
      </c>
      <c r="D279" s="5">
        <f>IF(C279="","",CHOOSE(C279,"jan","feb","mar","apr","mai","jun","jul","aug","sep","okt","nov","des"))</f>
        <v/>
      </c>
      <c r="E279" s="21" t="n">
        <v>2</v>
      </c>
      <c r="F279" s="21" t="n">
        <v>3</v>
      </c>
      <c r="G279" s="21" t="n">
        <v>5</v>
      </c>
      <c r="H279" s="18">
        <f>IF(COUNT(E279:G279)&lt;3,"",ROUND(IF(OR(E279=1,F279=1),MIN('Les meg'!$C$25,E279*'Les meg'!$C$21+F279*'Les meg'!$C$22+G279*'Les meg'!$C$23),E279*'Les meg'!$C$21+F279*'Les meg'!$C$22+G279*'Les meg'!$C$23),1))</f>
        <v/>
      </c>
      <c r="I279" s="21" t="n">
        <v>31.1</v>
      </c>
      <c r="J279" s="21" t="n">
        <v>259</v>
      </c>
      <c r="K279" s="21" t="inlineStr">
        <is>
          <t>Vått.</t>
        </is>
      </c>
    </row>
    <row r="280">
      <c r="A280" s="21" t="inlineStr">
        <is>
          <t>PAN</t>
        </is>
      </c>
      <c r="B280" s="5">
        <f>IFERROR(INDEX(Destinasjoner!$E$5:$E$64,MATCH(A280,Destinasjoner!$A$5:$A$64,0)),"")</f>
        <v/>
      </c>
      <c r="C280" s="21" t="n">
        <v>12</v>
      </c>
      <c r="D280" s="5">
        <f>IF(C280="","",CHOOSE(C280,"jan","feb","mar","apr","mai","jun","jul","aug","sep","okt","nov","des"))</f>
        <v/>
      </c>
      <c r="E280" s="21" t="n">
        <v>4</v>
      </c>
      <c r="F280" s="21" t="n">
        <v>4</v>
      </c>
      <c r="G280" s="21" t="n">
        <v>3</v>
      </c>
      <c r="H280" s="18">
        <f>IF(COUNT(E280:G280)&lt;3,"",ROUND(IF(OR(E280=1,F280=1),MIN('Les meg'!$C$25,E280*'Les meg'!$C$21+F280*'Les meg'!$C$22+G280*'Les meg'!$C$23),E280*'Les meg'!$C$21+F280*'Les meg'!$C$22+G280*'Les meg'!$C$23),1))</f>
        <v/>
      </c>
      <c r="I280" s="21" t="n">
        <v>31.7</v>
      </c>
      <c r="J280" s="21" t="n">
        <v>125</v>
      </c>
      <c r="K280" s="21" t="inlineStr">
        <is>
          <t>Tørrsesongen starter.</t>
        </is>
      </c>
    </row>
    <row r="281">
      <c r="A281" s="21" t="inlineStr">
        <is>
          <t>COL</t>
        </is>
      </c>
      <c r="B281" s="5">
        <f>IFERROR(INDEX(Destinasjoner!$E$5:$E$64,MATCH(A281,Destinasjoner!$A$5:$A$64,0)),"")</f>
        <v/>
      </c>
      <c r="C281" s="21" t="n">
        <v>1</v>
      </c>
      <c r="D281" s="5">
        <f>IF(C281="","",CHOOSE(C281,"jan","feb","mar","apr","mai","jun","jul","aug","sep","okt","nov","des"))</f>
        <v/>
      </c>
      <c r="E281" s="21" t="n">
        <v>5</v>
      </c>
      <c r="F281" s="21" t="n">
        <v>5</v>
      </c>
      <c r="G281" s="21" t="n">
        <v>2</v>
      </c>
      <c r="H281" s="18">
        <f>IF(COUNT(E281:G281)&lt;3,"",ROUND(IF(OR(E281=1,F281=1),MIN('Les meg'!$C$25,E281*'Les meg'!$C$21+F281*'Les meg'!$C$22+G281*'Les meg'!$C$23),E281*'Les meg'!$C$21+F281*'Les meg'!$C$22+G281*'Les meg'!$C$23),1))</f>
        <v/>
      </c>
      <c r="I281" s="21" t="n">
        <v>31.1</v>
      </c>
      <c r="J281" s="21" t="n">
        <v>1</v>
      </c>
      <c r="K281" s="21" t="inlineStr">
        <is>
          <t>Tørt, passatvind. Høysesong.</t>
        </is>
      </c>
    </row>
    <row r="282">
      <c r="A282" s="21" t="inlineStr">
        <is>
          <t>COL</t>
        </is>
      </c>
      <c r="B282" s="5">
        <f>IFERROR(INDEX(Destinasjoner!$E$5:$E$64,MATCH(A282,Destinasjoner!$A$5:$A$64,0)),"")</f>
        <v/>
      </c>
      <c r="C282" s="21" t="n">
        <v>2</v>
      </c>
      <c r="D282" s="5">
        <f>IF(C282="","",CHOOSE(C282,"jan","feb","mar","apr","mai","jun","jul","aug","sep","okt","nov","des"))</f>
        <v/>
      </c>
      <c r="E282" s="21" t="n">
        <v>5</v>
      </c>
      <c r="F282" s="21" t="n">
        <v>5</v>
      </c>
      <c r="G282" s="21" t="n">
        <v>3</v>
      </c>
      <c r="H282" s="18">
        <f>IF(COUNT(E282:G282)&lt;3,"",ROUND(IF(OR(E282=1,F282=1),MIN('Les meg'!$C$25,E282*'Les meg'!$C$21+F282*'Les meg'!$C$22+G282*'Les meg'!$C$23),E282*'Les meg'!$C$21+F282*'Les meg'!$C$22+G282*'Les meg'!$C$23),1))</f>
        <v/>
      </c>
      <c r="I282" s="21" t="n">
        <v>31.1</v>
      </c>
      <c r="J282" s="21" t="n">
        <v>0</v>
      </c>
      <c r="K282" s="21" t="inlineStr">
        <is>
          <t>Tørt. Karneval i Barranquilla (se Vinduer).</t>
        </is>
      </c>
    </row>
    <row r="283">
      <c r="A283" s="21" t="inlineStr">
        <is>
          <t>COL</t>
        </is>
      </c>
      <c r="B283" s="5">
        <f>IFERROR(INDEX(Destinasjoner!$E$5:$E$64,MATCH(A283,Destinasjoner!$A$5:$A$64,0)),"")</f>
        <v/>
      </c>
      <c r="C283" s="21" t="n">
        <v>3</v>
      </c>
      <c r="D283" s="5">
        <f>IF(C283="","",CHOOSE(C283,"jan","feb","mar","apr","mai","jun","jul","aug","sep","okt","nov","des"))</f>
        <v/>
      </c>
      <c r="E283" s="21" t="n">
        <v>5</v>
      </c>
      <c r="F283" s="21" t="n">
        <v>5</v>
      </c>
      <c r="G283" s="21" t="n">
        <v>3</v>
      </c>
      <c r="H283" s="18">
        <f>IF(COUNT(E283:G283)&lt;3,"",ROUND(IF(OR(E283=1,F283=1),MIN('Les meg'!$C$25,E283*'Les meg'!$C$21+F283*'Les meg'!$C$22+G283*'Les meg'!$C$23),E283*'Les meg'!$C$21+F283*'Les meg'!$C$22+G283*'Les meg'!$C$23),1))</f>
        <v/>
      </c>
      <c r="I283" s="21" t="n">
        <v>31.2</v>
      </c>
      <c r="J283" s="21" t="n">
        <v>3</v>
      </c>
      <c r="K283" s="21" t="inlineStr">
        <is>
          <t>Tørt.</t>
        </is>
      </c>
    </row>
    <row r="284">
      <c r="A284" s="21" t="inlineStr">
        <is>
          <t>COL</t>
        </is>
      </c>
      <c r="B284" s="5">
        <f>IFERROR(INDEX(Destinasjoner!$E$5:$E$64,MATCH(A284,Destinasjoner!$A$5:$A$64,0)),"")</f>
        <v/>
      </c>
      <c r="C284" s="21" t="n">
        <v>4</v>
      </c>
      <c r="D284" s="5">
        <f>IF(C284="","",CHOOSE(C284,"jan","feb","mar","apr","mai","jun","jul","aug","sep","okt","nov","des"))</f>
        <v/>
      </c>
      <c r="E284" s="21" t="n">
        <v>4</v>
      </c>
      <c r="F284" s="21" t="n">
        <v>4</v>
      </c>
      <c r="G284" s="21" t="n">
        <v>3</v>
      </c>
      <c r="H284" s="18">
        <f>IF(COUNT(E284:G284)&lt;3,"",ROUND(IF(OR(E284=1,F284=1),MIN('Les meg'!$C$25,E284*'Les meg'!$C$21+F284*'Les meg'!$C$22+G284*'Les meg'!$C$23),E284*'Les meg'!$C$21+F284*'Les meg'!$C$22+G284*'Les meg'!$C$23),1))</f>
        <v/>
      </c>
      <c r="I284" s="21" t="n">
        <v>31.7</v>
      </c>
      <c r="J284" s="21" t="n">
        <v>19</v>
      </c>
      <c r="K284" s="21" t="inlineStr">
        <is>
          <t>Tørt ved kysten; regn i Andes. Semana Santa.</t>
        </is>
      </c>
    </row>
    <row r="285">
      <c r="A285" s="21" t="inlineStr">
        <is>
          <t>COL</t>
        </is>
      </c>
      <c r="B285" s="5">
        <f>IFERROR(INDEX(Destinasjoner!$E$5:$E$64,MATCH(A285,Destinasjoner!$A$5:$A$64,0)),"")</f>
        <v/>
      </c>
      <c r="C285" s="21" t="n">
        <v>5</v>
      </c>
      <c r="D285" s="5">
        <f>IF(C285="","",CHOOSE(C285,"jan","feb","mar","apr","mai","jun","jul","aug","sep","okt","nov","des"))</f>
        <v/>
      </c>
      <c r="E285" s="21" t="n">
        <v>3</v>
      </c>
      <c r="F285" s="21" t="n">
        <v>3</v>
      </c>
      <c r="G285" s="21" t="n">
        <v>4</v>
      </c>
      <c r="H285" s="18">
        <f>IF(COUNT(E285:G285)&lt;3,"",ROUND(IF(OR(E285=1,F285=1),MIN('Les meg'!$C$25,E285*'Les meg'!$C$21+F285*'Les meg'!$C$22+G285*'Les meg'!$C$23),E285*'Les meg'!$C$21+F285*'Les meg'!$C$22+G285*'Les meg'!$C$23),1))</f>
        <v/>
      </c>
      <c r="I285" s="21" t="n">
        <v>32</v>
      </c>
      <c r="J285" s="21" t="n">
        <v>117</v>
      </c>
      <c r="K285" s="21" t="inlineStr">
        <is>
          <t>Regnet starter.</t>
        </is>
      </c>
    </row>
    <row r="286">
      <c r="A286" s="21" t="inlineStr">
        <is>
          <t>COL</t>
        </is>
      </c>
      <c r="B286" s="5">
        <f>IFERROR(INDEX(Destinasjoner!$E$5:$E$64,MATCH(A286,Destinasjoner!$A$5:$A$64,0)),"")</f>
        <v/>
      </c>
      <c r="C286" s="21" t="n">
        <v>6</v>
      </c>
      <c r="D286" s="5">
        <f>IF(C286="","",CHOOSE(C286,"jan","feb","mar","apr","mai","jun","jul","aug","sep","okt","nov","des"))</f>
        <v/>
      </c>
      <c r="E286" s="21" t="n">
        <v>3</v>
      </c>
      <c r="F286" s="21" t="n">
        <v>4</v>
      </c>
      <c r="G286" s="21" t="n">
        <v>4</v>
      </c>
      <c r="H286" s="18">
        <f>IF(COUNT(E286:G286)&lt;3,"",ROUND(IF(OR(E286=1,F286=1),MIN('Les meg'!$C$25,E286*'Les meg'!$C$21+F286*'Les meg'!$C$22+G286*'Les meg'!$C$23),E286*'Les meg'!$C$21+F286*'Les meg'!$C$22+G286*'Les meg'!$C$23),1))</f>
        <v/>
      </c>
      <c r="I286" s="21" t="n">
        <v>32.3</v>
      </c>
      <c r="J286" s="21" t="n">
        <v>93</v>
      </c>
      <c r="K286" s="21" t="inlineStr">
        <is>
          <t>Mindre regn («veranillo»).</t>
        </is>
      </c>
    </row>
    <row r="287">
      <c r="A287" s="21" t="inlineStr">
        <is>
          <t>COL</t>
        </is>
      </c>
      <c r="B287" s="5">
        <f>IFERROR(INDEX(Destinasjoner!$E$5:$E$64,MATCH(A287,Destinasjoner!$A$5:$A$64,0)),"")</f>
        <v/>
      </c>
      <c r="C287" s="21" t="n">
        <v>7</v>
      </c>
      <c r="D287" s="5">
        <f>IF(C287="","",CHOOSE(C287,"jan","feb","mar","apr","mai","jun","jul","aug","sep","okt","nov","des"))</f>
        <v/>
      </c>
      <c r="E287" s="21" t="n">
        <v>3</v>
      </c>
      <c r="F287" s="21" t="n">
        <v>4</v>
      </c>
      <c r="G287" s="21" t="n">
        <v>3</v>
      </c>
      <c r="H287" s="18">
        <f>IF(COUNT(E287:G287)&lt;3,"",ROUND(IF(OR(E287=1,F287=1),MIN('Les meg'!$C$25,E287*'Les meg'!$C$21+F287*'Les meg'!$C$22+G287*'Les meg'!$C$23),E287*'Les meg'!$C$21+F287*'Les meg'!$C$22+G287*'Les meg'!$C$23),1))</f>
        <v/>
      </c>
      <c r="I287" s="21" t="n">
        <v>32.2</v>
      </c>
      <c r="J287" s="21" t="n">
        <v>121</v>
      </c>
      <c r="K287" s="21" t="inlineStr">
        <is>
          <t>Skoleferie.</t>
        </is>
      </c>
    </row>
    <row r="288">
      <c r="A288" s="21" t="inlineStr">
        <is>
          <t>COL</t>
        </is>
      </c>
      <c r="B288" s="5">
        <f>IFERROR(INDEX(Destinasjoner!$E$5:$E$64,MATCH(A288,Destinasjoner!$A$5:$A$64,0)),"")</f>
        <v/>
      </c>
      <c r="C288" s="21" t="n">
        <v>8</v>
      </c>
      <c r="D288" s="5">
        <f>IF(C288="","",CHOOSE(C288,"jan","feb","mar","apr","mai","jun","jul","aug","sep","okt","nov","des"))</f>
        <v/>
      </c>
      <c r="E288" s="21" t="n">
        <v>3</v>
      </c>
      <c r="F288" s="21" t="n">
        <v>4</v>
      </c>
      <c r="G288" s="21" t="n">
        <v>4</v>
      </c>
      <c r="H288" s="18">
        <f>IF(COUNT(E288:G288)&lt;3,"",ROUND(IF(OR(E288=1,F288=1),MIN('Les meg'!$C$25,E288*'Les meg'!$C$21+F288*'Les meg'!$C$22+G288*'Les meg'!$C$23),E288*'Les meg'!$C$21+F288*'Les meg'!$C$22+G288*'Les meg'!$C$23),1))</f>
        <v/>
      </c>
      <c r="I288" s="21" t="n">
        <v>32.2</v>
      </c>
      <c r="J288" s="21" t="n">
        <v>128</v>
      </c>
      <c r="K288" s="21" t="inlineStr">
        <is>
          <t>Byger.</t>
        </is>
      </c>
    </row>
    <row r="289">
      <c r="A289" s="21" t="inlineStr">
        <is>
          <t>COL</t>
        </is>
      </c>
      <c r="B289" s="5">
        <f>IFERROR(INDEX(Destinasjoner!$E$5:$E$64,MATCH(A289,Destinasjoner!$A$5:$A$64,0)),"")</f>
        <v/>
      </c>
      <c r="C289" s="21" t="n">
        <v>9</v>
      </c>
      <c r="D289" s="5">
        <f>IF(C289="","",CHOOSE(C289,"jan","feb","mar","apr","mai","jun","jul","aug","sep","okt","nov","des"))</f>
        <v/>
      </c>
      <c r="E289" s="21" t="n">
        <v>3</v>
      </c>
      <c r="F289" s="21" t="n">
        <v>3</v>
      </c>
      <c r="G289" s="21" t="n">
        <v>5</v>
      </c>
      <c r="H289" s="18">
        <f>IF(COUNT(E289:G289)&lt;3,"",ROUND(IF(OR(E289=1,F289=1),MIN('Les meg'!$C$25,E289*'Les meg'!$C$21+F289*'Les meg'!$C$22+G289*'Les meg'!$C$23),E289*'Les meg'!$C$21+F289*'Les meg'!$C$22+G289*'Les meg'!$C$23),1))</f>
        <v/>
      </c>
      <c r="I289" s="21" t="n">
        <v>32.1</v>
      </c>
      <c r="J289" s="21" t="n">
        <v>133</v>
      </c>
      <c r="K289" s="21" t="inlineStr">
        <is>
          <t>Byger.</t>
        </is>
      </c>
    </row>
    <row r="290">
      <c r="A290" s="21" t="inlineStr">
        <is>
          <t>COL</t>
        </is>
      </c>
      <c r="B290" s="5">
        <f>IFERROR(INDEX(Destinasjoner!$E$5:$E$64,MATCH(A290,Destinasjoner!$A$5:$A$64,0)),"")</f>
        <v/>
      </c>
      <c r="C290" s="21" t="n">
        <v>10</v>
      </c>
      <c r="D290" s="5">
        <f>IF(C290="","",CHOOSE(C290,"jan","feb","mar","apr","mai","jun","jul","aug","sep","okt","nov","des"))</f>
        <v/>
      </c>
      <c r="E290" s="21" t="n">
        <v>2</v>
      </c>
      <c r="F290" s="21" t="n">
        <v>3</v>
      </c>
      <c r="G290" s="21" t="n">
        <v>5</v>
      </c>
      <c r="H290" s="18">
        <f>IF(COUNT(E290:G290)&lt;3,"",ROUND(IF(OR(E290=1,F290=1),MIN('Les meg'!$C$25,E290*'Les meg'!$C$21+F290*'Les meg'!$C$22+G290*'Les meg'!$C$23),E290*'Les meg'!$C$21+F290*'Les meg'!$C$22+G290*'Les meg'!$C$23),1))</f>
        <v/>
      </c>
      <c r="I290" s="21" t="n">
        <v>31.7</v>
      </c>
      <c r="J290" s="21" t="n">
        <v>237</v>
      </c>
      <c r="K290" s="21" t="inlineStr">
        <is>
          <t>Mest regn.</t>
        </is>
      </c>
    </row>
    <row r="291">
      <c r="A291" s="21" t="inlineStr">
        <is>
          <t>COL</t>
        </is>
      </c>
      <c r="B291" s="5">
        <f>IFERROR(INDEX(Destinasjoner!$E$5:$E$64,MATCH(A291,Destinasjoner!$A$5:$A$64,0)),"")</f>
        <v/>
      </c>
      <c r="C291" s="21" t="n">
        <v>11</v>
      </c>
      <c r="D291" s="5">
        <f>IF(C291="","",CHOOSE(C291,"jan","feb","mar","apr","mai","jun","jul","aug","sep","okt","nov","des"))</f>
        <v/>
      </c>
      <c r="E291" s="21" t="n">
        <v>2</v>
      </c>
      <c r="F291" s="21" t="n">
        <v>3</v>
      </c>
      <c r="G291" s="21" t="n">
        <v>4</v>
      </c>
      <c r="H291" s="18">
        <f>IF(COUNT(E291:G291)&lt;3,"",ROUND(IF(OR(E291=1,F291=1),MIN('Les meg'!$C$25,E291*'Les meg'!$C$21+F291*'Les meg'!$C$22+G291*'Les meg'!$C$23),E291*'Les meg'!$C$21+F291*'Les meg'!$C$22+G291*'Les meg'!$C$23),1))</f>
        <v/>
      </c>
      <c r="I291" s="21" t="n">
        <v>31.5</v>
      </c>
      <c r="J291" s="21" t="n">
        <v>178</v>
      </c>
      <c r="K291" s="21" t="inlineStr">
        <is>
          <t>Vått.</t>
        </is>
      </c>
    </row>
    <row r="292">
      <c r="A292" s="21" t="inlineStr">
        <is>
          <t>COL</t>
        </is>
      </c>
      <c r="B292" s="5">
        <f>IFERROR(INDEX(Destinasjoner!$E$5:$E$64,MATCH(A292,Destinasjoner!$A$5:$A$64,0)),"")</f>
        <v/>
      </c>
      <c r="C292" s="21" t="n">
        <v>12</v>
      </c>
      <c r="D292" s="5">
        <f>IF(C292="","",CHOOSE(C292,"jan","feb","mar","apr","mai","jun","jul","aug","sep","okt","nov","des"))</f>
        <v/>
      </c>
      <c r="E292" s="21" t="n">
        <v>4</v>
      </c>
      <c r="F292" s="21" t="n">
        <v>5</v>
      </c>
      <c r="G292" s="21" t="n">
        <v>1</v>
      </c>
      <c r="H292" s="18">
        <f>IF(COUNT(E292:G292)&lt;3,"",ROUND(IF(OR(E292=1,F292=1),MIN('Les meg'!$C$25,E292*'Les meg'!$C$21+F292*'Les meg'!$C$22+G292*'Les meg'!$C$23),E292*'Les meg'!$C$21+F292*'Les meg'!$C$22+G292*'Les meg'!$C$23),1))</f>
        <v/>
      </c>
      <c r="I292" s="21" t="n">
        <v>31.4</v>
      </c>
      <c r="J292" s="21" t="n">
        <v>45</v>
      </c>
      <c r="K292" s="21" t="inlineStr">
        <is>
          <t>Tørt fra midten av måneden; jul/nyttår dyrt og fullt.</t>
        </is>
      </c>
    </row>
    <row r="293">
      <c r="A293" s="21" t="inlineStr">
        <is>
          <t>DOM</t>
        </is>
      </c>
      <c r="B293" s="5">
        <f>IFERROR(INDEX(Destinasjoner!$E$5:$E$64,MATCH(A293,Destinasjoner!$A$5:$A$64,0)),"")</f>
        <v/>
      </c>
      <c r="C293" s="21" t="n">
        <v>1</v>
      </c>
      <c r="D293" s="5">
        <f>IF(C293="","",CHOOSE(C293,"jan","feb","mar","apr","mai","jun","jul","aug","sep","okt","nov","des"))</f>
        <v/>
      </c>
      <c r="E293" s="21" t="n">
        <v>5</v>
      </c>
      <c r="F293" s="21" t="n">
        <v>5</v>
      </c>
      <c r="G293" s="21" t="n">
        <v>2</v>
      </c>
      <c r="H293" s="18">
        <f>IF(COUNT(E293:G293)&lt;3,"",ROUND(IF(OR(E293=1,F293=1),MIN('Les meg'!$C$25,E293*'Les meg'!$C$21+F293*'Les meg'!$C$22+G293*'Les meg'!$C$23),E293*'Les meg'!$C$21+F293*'Les meg'!$C$22+G293*'Les meg'!$C$23),1))</f>
        <v/>
      </c>
      <c r="I293" s="21" t="n">
        <v>30</v>
      </c>
      <c r="J293" s="21" t="n">
        <v>68</v>
      </c>
      <c r="K293" s="21" t="inlineStr">
        <is>
          <t>Tørt og behagelig. Hvalsesong i Samaná.</t>
        </is>
      </c>
    </row>
    <row r="294">
      <c r="A294" s="21" t="inlineStr">
        <is>
          <t>DOM</t>
        </is>
      </c>
      <c r="B294" s="5">
        <f>IFERROR(INDEX(Destinasjoner!$E$5:$E$64,MATCH(A294,Destinasjoner!$A$5:$A$64,0)),"")</f>
        <v/>
      </c>
      <c r="C294" s="21" t="n">
        <v>2</v>
      </c>
      <c r="D294" s="5">
        <f>IF(C294="","",CHOOSE(C294,"jan","feb","mar","apr","mai","jun","jul","aug","sep","okt","nov","des"))</f>
        <v/>
      </c>
      <c r="E294" s="21" t="n">
        <v>5</v>
      </c>
      <c r="F294" s="21" t="n">
        <v>5</v>
      </c>
      <c r="G294" s="21" t="n">
        <v>2</v>
      </c>
      <c r="H294" s="18">
        <f>IF(COUNT(E294:G294)&lt;3,"",ROUND(IF(OR(E294=1,F294=1),MIN('Les meg'!$C$25,E294*'Les meg'!$C$21+F294*'Les meg'!$C$22+G294*'Les meg'!$C$23),E294*'Les meg'!$C$21+F294*'Les meg'!$C$22+G294*'Les meg'!$C$23),1))</f>
        <v/>
      </c>
      <c r="I294" s="21" t="n">
        <v>30</v>
      </c>
      <c r="J294" s="21" t="n">
        <v>59</v>
      </c>
      <c r="K294" s="21" t="inlineStr">
        <is>
          <t>Hvaltopp; karneval.</t>
        </is>
      </c>
    </row>
    <row r="295">
      <c r="A295" s="21" t="inlineStr">
        <is>
          <t>DOM</t>
        </is>
      </c>
      <c r="B295" s="5">
        <f>IFERROR(INDEX(Destinasjoner!$E$5:$E$64,MATCH(A295,Destinasjoner!$A$5:$A$64,0)),"")</f>
        <v/>
      </c>
      <c r="C295" s="21" t="n">
        <v>3</v>
      </c>
      <c r="D295" s="5">
        <f>IF(C295="","",CHOOSE(C295,"jan","feb","mar","apr","mai","jun","jul","aug","sep","okt","nov","des"))</f>
        <v/>
      </c>
      <c r="E295" s="21" t="n">
        <v>5</v>
      </c>
      <c r="F295" s="21" t="n">
        <v>5</v>
      </c>
      <c r="G295" s="21" t="n">
        <v>2</v>
      </c>
      <c r="H295" s="18">
        <f>IF(COUNT(E295:G295)&lt;3,"",ROUND(IF(OR(E295=1,F295=1),MIN('Les meg'!$C$25,E295*'Les meg'!$C$21+F295*'Les meg'!$C$22+G295*'Les meg'!$C$23),E295*'Les meg'!$C$21+F295*'Les meg'!$C$22+G295*'Les meg'!$C$23),1))</f>
        <v/>
      </c>
      <c r="I295" s="21" t="n">
        <v>30.5</v>
      </c>
      <c r="J295" s="21" t="n">
        <v>54</v>
      </c>
      <c r="K295" s="21" t="inlineStr">
        <is>
          <t>Hval ut mars.</t>
        </is>
      </c>
    </row>
    <row r="296">
      <c r="A296" s="21" t="inlineStr">
        <is>
          <t>DOM</t>
        </is>
      </c>
      <c r="B296" s="5">
        <f>IFERROR(INDEX(Destinasjoner!$E$5:$E$64,MATCH(A296,Destinasjoner!$A$5:$A$64,0)),"")</f>
        <v/>
      </c>
      <c r="C296" s="21" t="n">
        <v>4</v>
      </c>
      <c r="D296" s="5">
        <f>IF(C296="","",CHOOSE(C296,"jan","feb","mar","apr","mai","jun","jul","aug","sep","okt","nov","des"))</f>
        <v/>
      </c>
      <c r="E296" s="21" t="n">
        <v>4</v>
      </c>
      <c r="F296" s="21" t="n">
        <v>4</v>
      </c>
      <c r="G296" s="21" t="n">
        <v>3</v>
      </c>
      <c r="H296" s="18">
        <f>IF(COUNT(E296:G296)&lt;3,"",ROUND(IF(OR(E296=1,F296=1),MIN('Les meg'!$C$25,E296*'Les meg'!$C$21+F296*'Les meg'!$C$22+G296*'Les meg'!$C$23),E296*'Les meg'!$C$21+F296*'Les meg'!$C$22+G296*'Les meg'!$C$23),1))</f>
        <v/>
      </c>
      <c r="I296" s="21" t="n">
        <v>30.9</v>
      </c>
      <c r="J296" s="21" t="n">
        <v>86</v>
      </c>
      <c r="K296" s="21" t="inlineStr">
        <is>
          <t>Tørt, varmere.</t>
        </is>
      </c>
    </row>
    <row r="297">
      <c r="A297" s="21" t="inlineStr">
        <is>
          <t>DOM</t>
        </is>
      </c>
      <c r="B297" s="5">
        <f>IFERROR(INDEX(Destinasjoner!$E$5:$E$64,MATCH(A297,Destinasjoner!$A$5:$A$64,0)),"")</f>
        <v/>
      </c>
      <c r="C297" s="21" t="n">
        <v>5</v>
      </c>
      <c r="D297" s="5">
        <f>IF(C297="","",CHOOSE(C297,"jan","feb","mar","apr","mai","jun","jul","aug","sep","okt","nov","des"))</f>
        <v/>
      </c>
      <c r="E297" s="21" t="n">
        <v>3</v>
      </c>
      <c r="F297" s="21" t="n">
        <v>3</v>
      </c>
      <c r="G297" s="21" t="n">
        <v>4</v>
      </c>
      <c r="H297" s="18">
        <f>IF(COUNT(E297:G297)&lt;3,"",ROUND(IF(OR(E297=1,F297=1),MIN('Les meg'!$C$25,E297*'Les meg'!$C$21+F297*'Les meg'!$C$22+G297*'Les meg'!$C$23),E297*'Les meg'!$C$21+F297*'Les meg'!$C$22+G297*'Les meg'!$C$23),1))</f>
        <v/>
      </c>
      <c r="I297" s="21" t="n">
        <v>31.3</v>
      </c>
      <c r="J297" s="21" t="n">
        <v>151</v>
      </c>
      <c r="K297" s="21" t="inlineStr">
        <is>
          <t>Regntiden starter.</t>
        </is>
      </c>
    </row>
    <row r="298">
      <c r="A298" s="21" t="inlineStr">
        <is>
          <t>DOM</t>
        </is>
      </c>
      <c r="B298" s="5">
        <f>IFERROR(INDEX(Destinasjoner!$E$5:$E$64,MATCH(A298,Destinasjoner!$A$5:$A$64,0)),"")</f>
        <v/>
      </c>
      <c r="C298" s="21" t="n">
        <v>6</v>
      </c>
      <c r="D298" s="5">
        <f>IF(C298="","",CHOOSE(C298,"jan","feb","mar","apr","mai","jun","jul","aug","sep","okt","nov","des"))</f>
        <v/>
      </c>
      <c r="E298" s="21" t="n">
        <v>3</v>
      </c>
      <c r="F298" s="21" t="n">
        <v>3</v>
      </c>
      <c r="G298" s="21" t="n">
        <v>4</v>
      </c>
      <c r="H298" s="18">
        <f>IF(COUNT(E298:G298)&lt;3,"",ROUND(IF(OR(E298=1,F298=1),MIN('Les meg'!$C$25,E298*'Les meg'!$C$21+F298*'Les meg'!$C$22+G298*'Les meg'!$C$23),E298*'Les meg'!$C$21+F298*'Les meg'!$C$22+G298*'Les meg'!$C$23),1))</f>
        <v/>
      </c>
      <c r="I298" s="21" t="n">
        <v>31.9</v>
      </c>
      <c r="J298" s="21" t="n">
        <v>119</v>
      </c>
      <c r="K298" s="21" t="inlineStr">
        <is>
          <t>Varmt; orkansesongen starter.</t>
        </is>
      </c>
    </row>
    <row r="299">
      <c r="A299" s="21" t="inlineStr">
        <is>
          <t>DOM</t>
        </is>
      </c>
      <c r="B299" s="5">
        <f>IFERROR(INDEX(Destinasjoner!$E$5:$E$64,MATCH(A299,Destinasjoner!$A$5:$A$64,0)),"")</f>
        <v/>
      </c>
      <c r="C299" s="21" t="n">
        <v>7</v>
      </c>
      <c r="D299" s="5">
        <f>IF(C299="","",CHOOSE(C299,"jan","feb","mar","apr","mai","jun","jul","aug","sep","okt","nov","des"))</f>
        <v/>
      </c>
      <c r="E299" s="21" t="n">
        <v>3</v>
      </c>
      <c r="F299" s="21" t="n">
        <v>3</v>
      </c>
      <c r="G299" s="21" t="n">
        <v>3</v>
      </c>
      <c r="H299" s="18">
        <f>IF(COUNT(E299:G299)&lt;3,"",ROUND(IF(OR(E299=1,F299=1),MIN('Les meg'!$C$25,E299*'Les meg'!$C$21+F299*'Les meg'!$C$22+G299*'Les meg'!$C$23),E299*'Les meg'!$C$21+F299*'Les meg'!$C$22+G299*'Les meg'!$C$23),1))</f>
        <v/>
      </c>
      <c r="I299" s="21" t="n">
        <v>32.2</v>
      </c>
      <c r="J299" s="21" t="n">
        <v>157</v>
      </c>
      <c r="K299" s="21" t="inlineStr">
        <is>
          <t>Varmt; sommerferie.</t>
        </is>
      </c>
    </row>
    <row r="300">
      <c r="A300" s="21" t="inlineStr">
        <is>
          <t>DOM</t>
        </is>
      </c>
      <c r="B300" s="5">
        <f>IFERROR(INDEX(Destinasjoner!$E$5:$E$64,MATCH(A300,Destinasjoner!$A$5:$A$64,0)),"")</f>
        <v/>
      </c>
      <c r="C300" s="21" t="n">
        <v>8</v>
      </c>
      <c r="D300" s="5">
        <f>IF(C300="","",CHOOSE(C300,"jan","feb","mar","apr","mai","jun","jul","aug","sep","okt","nov","des"))</f>
        <v/>
      </c>
      <c r="E300" s="21" t="n">
        <v>2</v>
      </c>
      <c r="F300" s="21" t="n">
        <v>3</v>
      </c>
      <c r="G300" s="21" t="n">
        <v>4</v>
      </c>
      <c r="H300" s="18">
        <f>IF(COUNT(E300:G300)&lt;3,"",ROUND(IF(OR(E300=1,F300=1),MIN('Les meg'!$C$25,E300*'Les meg'!$C$21+F300*'Les meg'!$C$22+G300*'Les meg'!$C$23),E300*'Les meg'!$C$21+F300*'Les meg'!$C$22+G300*'Les meg'!$C$23),1))</f>
        <v/>
      </c>
      <c r="I300" s="21" t="n">
        <v>32.3</v>
      </c>
      <c r="J300" s="21" t="n">
        <v>195</v>
      </c>
      <c r="K300" s="21" t="inlineStr">
        <is>
          <t>Orkanrisiko.</t>
        </is>
      </c>
    </row>
    <row r="301">
      <c r="A301" s="21" t="inlineStr">
        <is>
          <t>DOM</t>
        </is>
      </c>
      <c r="B301" s="5">
        <f>IFERROR(INDEX(Destinasjoner!$E$5:$E$64,MATCH(A301,Destinasjoner!$A$5:$A$64,0)),"")</f>
        <v/>
      </c>
      <c r="C301" s="21" t="n">
        <v>9</v>
      </c>
      <c r="D301" s="5">
        <f>IF(C301="","",CHOOSE(C301,"jan","feb","mar","apr","mai","jun","jul","aug","sep","okt","nov","des"))</f>
        <v/>
      </c>
      <c r="E301" s="21" t="n">
        <v>2</v>
      </c>
      <c r="F301" s="21" t="n">
        <v>3</v>
      </c>
      <c r="G301" s="21" t="n">
        <v>5</v>
      </c>
      <c r="H301" s="18">
        <f>IF(COUNT(E301:G301)&lt;3,"",ROUND(IF(OR(E301=1,F301=1),MIN('Les meg'!$C$25,E301*'Les meg'!$C$21+F301*'Les meg'!$C$22+G301*'Les meg'!$C$23),E301*'Les meg'!$C$21+F301*'Les meg'!$C$22+G301*'Les meg'!$C$23),1))</f>
        <v/>
      </c>
      <c r="I301" s="21" t="n">
        <v>32.4</v>
      </c>
      <c r="J301" s="21" t="n">
        <v>192</v>
      </c>
      <c r="K301" s="21" t="inlineStr">
        <is>
          <t>Orkansesongens topp.</t>
        </is>
      </c>
    </row>
    <row r="302">
      <c r="A302" s="21" t="inlineStr">
        <is>
          <t>DOM</t>
        </is>
      </c>
      <c r="B302" s="5">
        <f>IFERROR(INDEX(Destinasjoner!$E$5:$E$64,MATCH(A302,Destinasjoner!$A$5:$A$64,0)),"")</f>
        <v/>
      </c>
      <c r="C302" s="21" t="n">
        <v>10</v>
      </c>
      <c r="D302" s="5">
        <f>IF(C302="","",CHOOSE(C302,"jan","feb","mar","apr","mai","jun","jul","aug","sep","okt","nov","des"))</f>
        <v/>
      </c>
      <c r="E302" s="21" t="n">
        <v>2</v>
      </c>
      <c r="F302" s="21" t="n">
        <v>3</v>
      </c>
      <c r="G302" s="21" t="n">
        <v>5</v>
      </c>
      <c r="H302" s="18">
        <f>IF(COUNT(E302:G302)&lt;3,"",ROUND(IF(OR(E302=1,F302=1),MIN('Les meg'!$C$25,E302*'Les meg'!$C$21+F302*'Les meg'!$C$22+G302*'Les meg'!$C$23),E302*'Les meg'!$C$21+F302*'Les meg'!$C$22+G302*'Les meg'!$C$23),1))</f>
        <v/>
      </c>
      <c r="I302" s="21" t="n">
        <v>32</v>
      </c>
      <c r="J302" s="21" t="n">
        <v>177</v>
      </c>
      <c r="K302" s="21" t="inlineStr">
        <is>
          <t>Orkanrisiko.</t>
        </is>
      </c>
    </row>
    <row r="303">
      <c r="A303" s="21" t="inlineStr">
        <is>
          <t>DOM</t>
        </is>
      </c>
      <c r="B303" s="5">
        <f>IFERROR(INDEX(Destinasjoner!$E$5:$E$64,MATCH(A303,Destinasjoner!$A$5:$A$64,0)),"")</f>
        <v/>
      </c>
      <c r="C303" s="21" t="n">
        <v>11</v>
      </c>
      <c r="D303" s="5">
        <f>IF(C303="","",CHOOSE(C303,"jan","feb","mar","apr","mai","jun","jul","aug","sep","okt","nov","des"))</f>
        <v/>
      </c>
      <c r="E303" s="21" t="n">
        <v>3</v>
      </c>
      <c r="F303" s="21" t="n">
        <v>3</v>
      </c>
      <c r="G303" s="21" t="n">
        <v>4</v>
      </c>
      <c r="H303" s="18">
        <f>IF(COUNT(E303:G303)&lt;3,"",ROUND(IF(OR(E303=1,F303=1),MIN('Les meg'!$C$25,E303*'Les meg'!$C$21+F303*'Les meg'!$C$22+G303*'Les meg'!$C$23),E303*'Les meg'!$C$21+F303*'Les meg'!$C$22+G303*'Les meg'!$C$23),1))</f>
        <v/>
      </c>
      <c r="I303" s="21" t="n">
        <v>31.3</v>
      </c>
      <c r="J303" s="21" t="n">
        <v>148</v>
      </c>
      <c r="K303" s="21" t="inlineStr">
        <is>
          <t>Overgang.</t>
        </is>
      </c>
    </row>
    <row r="304">
      <c r="A304" s="21" t="inlineStr">
        <is>
          <t>DOM</t>
        </is>
      </c>
      <c r="B304" s="5">
        <f>IFERROR(INDEX(Destinasjoner!$E$5:$E$64,MATCH(A304,Destinasjoner!$A$5:$A$64,0)),"")</f>
        <v/>
      </c>
      <c r="C304" s="21" t="n">
        <v>12</v>
      </c>
      <c r="D304" s="5">
        <f>IF(C304="","",CHOOSE(C304,"jan","feb","mar","apr","mai","jun","jul","aug","sep","okt","nov","des"))</f>
        <v/>
      </c>
      <c r="E304" s="21" t="n">
        <v>4</v>
      </c>
      <c r="F304" s="21" t="n">
        <v>4</v>
      </c>
      <c r="G304" s="21" t="n">
        <v>2</v>
      </c>
      <c r="H304" s="18">
        <f>IF(COUNT(E304:G304)&lt;3,"",ROUND(IF(OR(E304=1,F304=1),MIN('Les meg'!$C$25,E304*'Les meg'!$C$21+F304*'Les meg'!$C$22+G304*'Les meg'!$C$23),E304*'Les meg'!$C$21+F304*'Les meg'!$C$22+G304*'Les meg'!$C$23),1))</f>
        <v/>
      </c>
      <c r="I304" s="21" t="n">
        <v>30.6</v>
      </c>
      <c r="J304" s="21" t="n">
        <v>77</v>
      </c>
      <c r="K304" s="21" t="inlineStr">
        <is>
          <t>Tørt; høysesongen starter.</t>
        </is>
      </c>
    </row>
    <row r="305">
      <c r="A305" s="21" t="inlineStr">
        <is>
          <t>BRA-NE</t>
        </is>
      </c>
      <c r="B305" s="5">
        <f>IFERROR(INDEX(Destinasjoner!$E$5:$E$64,MATCH(A305,Destinasjoner!$A$5:$A$64,0)),"")</f>
        <v/>
      </c>
      <c r="C305" s="21" t="n">
        <v>1</v>
      </c>
      <c r="D305" s="5">
        <f>IF(C305="","",CHOOSE(C305,"jan","feb","mar","apr","mai","jun","jul","aug","sep","okt","nov","des"))</f>
        <v/>
      </c>
      <c r="E305" s="21" t="n">
        <v>3</v>
      </c>
      <c r="F305" s="21" t="n">
        <v>4</v>
      </c>
      <c r="G305" s="21" t="n">
        <v>3</v>
      </c>
      <c r="H305" s="18">
        <f>IF(COUNT(E305:G305)&lt;3,"",ROUND(IF(OR(E305=1,F305=1),MIN('Les meg'!$C$25,E305*'Les meg'!$C$21+F305*'Les meg'!$C$22+G305*'Les meg'!$C$23),E305*'Les meg'!$C$21+F305*'Les meg'!$C$22+G305*'Les meg'!$C$23),1))</f>
        <v/>
      </c>
      <c r="I305" s="21" t="n">
        <v>31.5</v>
      </c>
      <c r="J305" s="21" t="n">
        <v>137</v>
      </c>
      <c r="K305" s="21" t="inlineStr">
        <is>
          <t>Rio varmt og regnfullt; nordøst tørt. Sommerferie.</t>
        </is>
      </c>
    </row>
    <row r="306">
      <c r="A306" s="21" t="inlineStr">
        <is>
          <t>BRA-NE</t>
        </is>
      </c>
      <c r="B306" s="5">
        <f>IFERROR(INDEX(Destinasjoner!$E$5:$E$64,MATCH(A306,Destinasjoner!$A$5:$A$64,0)),"")</f>
        <v/>
      </c>
      <c r="C306" s="21" t="n">
        <v>2</v>
      </c>
      <c r="D306" s="5">
        <f>IF(C306="","",CHOOSE(C306,"jan","feb","mar","apr","mai","jun","jul","aug","sep","okt","nov","des"))</f>
        <v/>
      </c>
      <c r="E306" s="21" t="n">
        <v>3</v>
      </c>
      <c r="F306" s="21" t="n">
        <v>5</v>
      </c>
      <c r="G306" s="21" t="n">
        <v>1</v>
      </c>
      <c r="H306" s="18">
        <f>IF(COUNT(E306:G306)&lt;3,"",ROUND(IF(OR(E306=1,F306=1),MIN('Les meg'!$C$25,E306*'Les meg'!$C$21+F306*'Les meg'!$C$22+G306*'Les meg'!$C$23),E306*'Les meg'!$C$21+F306*'Les meg'!$C$22+G306*'Les meg'!$C$23),1))</f>
        <v/>
      </c>
      <c r="I306" s="21" t="n">
        <v>32.2</v>
      </c>
      <c r="J306" s="21" t="n">
        <v>130</v>
      </c>
      <c r="K306" s="21" t="inlineStr">
        <is>
          <t>Varmt. Karneval (se Vinduer) – dyrt og fullt.</t>
        </is>
      </c>
    </row>
    <row r="307">
      <c r="A307" s="21" t="inlineStr">
        <is>
          <t>BRA-NE</t>
        </is>
      </c>
      <c r="B307" s="5">
        <f>IFERROR(INDEX(Destinasjoner!$E$5:$E$64,MATCH(A307,Destinasjoner!$A$5:$A$64,0)),"")</f>
        <v/>
      </c>
      <c r="C307" s="21" t="n">
        <v>3</v>
      </c>
      <c r="D307" s="5">
        <f>IF(C307="","",CHOOSE(C307,"jan","feb","mar","apr","mai","jun","jul","aug","sep","okt","nov","des"))</f>
        <v/>
      </c>
      <c r="E307" s="21" t="n">
        <v>3</v>
      </c>
      <c r="F307" s="21" t="n">
        <v>4</v>
      </c>
      <c r="G307" s="21" t="n">
        <v>4</v>
      </c>
      <c r="H307" s="18">
        <f>IF(COUNT(E307:G307)&lt;3,"",ROUND(IF(OR(E307=1,F307=1),MIN('Les meg'!$C$25,E307*'Les meg'!$C$21+F307*'Les meg'!$C$22+G307*'Les meg'!$C$23),E307*'Les meg'!$C$21+F307*'Les meg'!$C$22+G307*'Les meg'!$C$23),1))</f>
        <v/>
      </c>
      <c r="I307" s="21" t="n">
        <v>31.2</v>
      </c>
      <c r="J307" s="21" t="n">
        <v>136</v>
      </c>
      <c r="K307" s="21" t="inlineStr">
        <is>
          <t>Varmt, regn i Rio; nordøst tørt.</t>
        </is>
      </c>
    </row>
    <row r="308">
      <c r="A308" s="21" t="inlineStr">
        <is>
          <t>BRA-NE</t>
        </is>
      </c>
      <c r="B308" s="5">
        <f>IFERROR(INDEX(Destinasjoner!$E$5:$E$64,MATCH(A308,Destinasjoner!$A$5:$A$64,0)),"")</f>
        <v/>
      </c>
      <c r="C308" s="21" t="n">
        <v>4</v>
      </c>
      <c r="D308" s="5">
        <f>IF(C308="","",CHOOSE(C308,"jan","feb","mar","apr","mai","jun","jul","aug","sep","okt","nov","des"))</f>
        <v/>
      </c>
      <c r="E308" s="21" t="n">
        <v>3</v>
      </c>
      <c r="F308" s="21" t="n">
        <v>3</v>
      </c>
      <c r="G308" s="21" t="n">
        <v>4</v>
      </c>
      <c r="H308" s="18">
        <f>IF(COUNT(E308:G308)&lt;3,"",ROUND(IF(OR(E308=1,F308=1),MIN('Les meg'!$C$25,E308*'Les meg'!$C$21+F308*'Les meg'!$C$22+G308*'Les meg'!$C$23),E308*'Les meg'!$C$21+F308*'Les meg'!$C$22+G308*'Les meg'!$C$23),1))</f>
        <v/>
      </c>
      <c r="I308" s="21" t="n">
        <v>30</v>
      </c>
      <c r="J308" s="21" t="n">
        <v>95</v>
      </c>
      <c r="K308" s="21" t="inlineStr">
        <is>
          <t>Rio behagelig; regntid starter i Salvador (285 mm).</t>
        </is>
      </c>
    </row>
    <row r="309">
      <c r="A309" s="21" t="inlineStr">
        <is>
          <t>BRA-NE</t>
        </is>
      </c>
      <c r="B309" s="5">
        <f>IFERROR(INDEX(Destinasjoner!$E$5:$E$64,MATCH(A309,Destinasjoner!$A$5:$A$64,0)),"")</f>
        <v/>
      </c>
      <c r="C309" s="21" t="n">
        <v>5</v>
      </c>
      <c r="D309" s="5">
        <f>IF(C309="","",CHOOSE(C309,"jan","feb","mar","apr","mai","jun","jul","aug","sep","okt","nov","des"))</f>
        <v/>
      </c>
      <c r="E309" s="21" t="n">
        <v>3</v>
      </c>
      <c r="F309" s="21" t="n">
        <v>3</v>
      </c>
      <c r="G309" s="21" t="n">
        <v>4</v>
      </c>
      <c r="H309" s="18">
        <f>IF(COUNT(E309:G309)&lt;3,"",ROUND(IF(OR(E309=1,F309=1),MIN('Les meg'!$C$25,E309*'Les meg'!$C$21+F309*'Les meg'!$C$22+G309*'Les meg'!$C$23),E309*'Les meg'!$C$21+F309*'Les meg'!$C$22+G309*'Les meg'!$C$23),1))</f>
        <v/>
      </c>
      <c r="I309" s="21" t="n">
        <v>27.8</v>
      </c>
      <c r="J309" s="21" t="n">
        <v>70</v>
      </c>
      <c r="K309" s="21" t="inlineStr">
        <is>
          <t>Rio tørt og mildt; Salvador vått (302 mm).</t>
        </is>
      </c>
    </row>
    <row r="310">
      <c r="A310" s="21" t="inlineStr">
        <is>
          <t>BRA-NE</t>
        </is>
      </c>
      <c r="B310" s="5">
        <f>IFERROR(INDEX(Destinasjoner!$E$5:$E$64,MATCH(A310,Destinasjoner!$A$5:$A$64,0)),"")</f>
        <v/>
      </c>
      <c r="C310" s="21" t="n">
        <v>6</v>
      </c>
      <c r="D310" s="5">
        <f>IF(C310="","",CHOOSE(C310,"jan","feb","mar","apr","mai","jun","jul","aug","sep","okt","nov","des"))</f>
        <v/>
      </c>
      <c r="E310" s="21" t="n">
        <v>3</v>
      </c>
      <c r="F310" s="21" t="n">
        <v>4</v>
      </c>
      <c r="G310" s="21" t="n">
        <v>4</v>
      </c>
      <c r="H310" s="18">
        <f>IF(COUNT(E310:G310)&lt;3,"",ROUND(IF(OR(E310=1,F310=1),MIN('Les meg'!$C$25,E310*'Les meg'!$C$21+F310*'Les meg'!$C$22+G310*'Les meg'!$C$23),E310*'Les meg'!$C$21+F310*'Les meg'!$C$22+G310*'Les meg'!$C$23),1))</f>
        <v/>
      </c>
      <c r="I310" s="21" t="n">
        <v>26.7</v>
      </c>
      <c r="J310" s="21" t="n">
        <v>43</v>
      </c>
      <c r="K310" s="21" t="inlineStr">
        <is>
          <t>Rio fint; São João i nordøst (se Vinduer), men regn i Salvador.</t>
        </is>
      </c>
    </row>
    <row r="311">
      <c r="A311" s="21" t="inlineStr">
        <is>
          <t>BRA-NE</t>
        </is>
      </c>
      <c r="B311" s="5">
        <f>IFERROR(INDEX(Destinasjoner!$E$5:$E$64,MATCH(A311,Destinasjoner!$A$5:$A$64,0)),"")</f>
        <v/>
      </c>
      <c r="C311" s="21" t="n">
        <v>7</v>
      </c>
      <c r="D311" s="5">
        <f>IF(C311="","",CHOOSE(C311,"jan","feb","mar","apr","mai","jun","jul","aug","sep","okt","nov","des"))</f>
        <v/>
      </c>
      <c r="E311" s="21" t="n">
        <v>3</v>
      </c>
      <c r="F311" s="21" t="n">
        <v>3</v>
      </c>
      <c r="G311" s="21" t="n">
        <v>4</v>
      </c>
      <c r="H311" s="18">
        <f>IF(COUNT(E311:G311)&lt;3,"",ROUND(IF(OR(E311=1,F311=1),MIN('Les meg'!$C$25,E311*'Les meg'!$C$21+F311*'Les meg'!$C$22+G311*'Les meg'!$C$23),E311*'Les meg'!$C$21+F311*'Les meg'!$C$22+G311*'Les meg'!$C$23),1))</f>
        <v/>
      </c>
      <c r="I311" s="21" t="n">
        <v>26.4</v>
      </c>
      <c r="J311" s="21" t="n">
        <v>42</v>
      </c>
      <c r="K311" s="21" t="inlineStr">
        <is>
          <t>Rio mildt og tørt; nordøst vått.</t>
        </is>
      </c>
    </row>
    <row r="312">
      <c r="A312" s="21" t="inlineStr">
        <is>
          <t>BRA-NE</t>
        </is>
      </c>
      <c r="B312" s="5">
        <f>IFERROR(INDEX(Destinasjoner!$E$5:$E$64,MATCH(A312,Destinasjoner!$A$5:$A$64,0)),"")</f>
        <v/>
      </c>
      <c r="C312" s="21" t="n">
        <v>8</v>
      </c>
      <c r="D312" s="5">
        <f>IF(C312="","",CHOOSE(C312,"jan","feb","mar","apr","mai","jun","jul","aug","sep","okt","nov","des"))</f>
        <v/>
      </c>
      <c r="E312" s="21" t="n">
        <v>4</v>
      </c>
      <c r="F312" s="21" t="n">
        <v>4</v>
      </c>
      <c r="G312" s="21" t="n">
        <v>4</v>
      </c>
      <c r="H312" s="18">
        <f>IF(COUNT(E312:G312)&lt;3,"",ROUND(IF(OR(E312=1,F312=1),MIN('Les meg'!$C$25,E312*'Les meg'!$C$21+F312*'Les meg'!$C$22+G312*'Les meg'!$C$23),E312*'Les meg'!$C$21+F312*'Les meg'!$C$22+G312*'Les meg'!$C$23),1))</f>
        <v/>
      </c>
      <c r="I312" s="21" t="n">
        <v>27</v>
      </c>
      <c r="J312" s="21" t="n">
        <v>45</v>
      </c>
      <c r="K312" s="21" t="inlineStr">
        <is>
          <t>Rio fint; nordøst tørrere.</t>
        </is>
      </c>
    </row>
    <row r="313">
      <c r="A313" s="21" t="inlineStr">
        <is>
          <t>BRA-NE</t>
        </is>
      </c>
      <c r="B313" s="5">
        <f>IFERROR(INDEX(Destinasjoner!$E$5:$E$64,MATCH(A313,Destinasjoner!$A$5:$A$64,0)),"")</f>
        <v/>
      </c>
      <c r="C313" s="21" t="n">
        <v>9</v>
      </c>
      <c r="D313" s="5">
        <f>IF(C313="","",CHOOSE(C313,"jan","feb","mar","apr","mai","jun","jul","aug","sep","okt","nov","des"))</f>
        <v/>
      </c>
      <c r="E313" s="21" t="n">
        <v>5</v>
      </c>
      <c r="F313" s="21" t="n">
        <v>4</v>
      </c>
      <c r="G313" s="21" t="n">
        <v>4</v>
      </c>
      <c r="H313" s="18">
        <f>IF(COUNT(E313:G313)&lt;3,"",ROUND(IF(OR(E313=1,F313=1),MIN('Les meg'!$C$25,E313*'Les meg'!$C$21+F313*'Les meg'!$C$22+G313*'Les meg'!$C$23),E313*'Les meg'!$C$21+F313*'Les meg'!$C$22+G313*'Les meg'!$C$23),1))</f>
        <v/>
      </c>
      <c r="I313" s="21" t="n">
        <v>26.7</v>
      </c>
      <c r="J313" s="21" t="n">
        <v>54</v>
      </c>
      <c r="K313" s="21" t="inlineStr">
        <is>
          <t>Tørt og behagelig langs hele strekningen.</t>
        </is>
      </c>
    </row>
    <row r="314">
      <c r="A314" s="21" t="inlineStr">
        <is>
          <t>BRA-NE</t>
        </is>
      </c>
      <c r="B314" s="5">
        <f>IFERROR(INDEX(Destinasjoner!$E$5:$E$64,MATCH(A314,Destinasjoner!$A$5:$A$64,0)),"")</f>
        <v/>
      </c>
      <c r="C314" s="21" t="n">
        <v>10</v>
      </c>
      <c r="D314" s="5">
        <f>IF(C314="","",CHOOSE(C314,"jan","feb","mar","apr","mai","jun","jul","aug","sep","okt","nov","des"))</f>
        <v/>
      </c>
      <c r="E314" s="21" t="n">
        <v>5</v>
      </c>
      <c r="F314" s="21" t="n">
        <v>4</v>
      </c>
      <c r="G314" s="21" t="n">
        <v>4</v>
      </c>
      <c r="H314" s="18">
        <f>IF(COUNT(E314:G314)&lt;3,"",ROUND(IF(OR(E314=1,F314=1),MIN('Les meg'!$C$25,E314*'Les meg'!$C$21+F314*'Les meg'!$C$22+G314*'Les meg'!$C$23),E314*'Les meg'!$C$21+F314*'Les meg'!$C$22+G314*'Les meg'!$C$23),1))</f>
        <v/>
      </c>
      <c r="I314" s="21" t="n">
        <v>28.2</v>
      </c>
      <c r="J314" s="21" t="n">
        <v>87</v>
      </c>
      <c r="K314" s="21" t="inlineStr">
        <is>
          <t>Varmere, tørt i nordøst.</t>
        </is>
      </c>
    </row>
    <row r="315">
      <c r="A315" s="21" t="inlineStr">
        <is>
          <t>BRA-NE</t>
        </is>
      </c>
      <c r="B315" s="5">
        <f>IFERROR(INDEX(Destinasjoner!$E$5:$E$64,MATCH(A315,Destinasjoner!$A$5:$A$64,0)),"")</f>
        <v/>
      </c>
      <c r="C315" s="21" t="n">
        <v>11</v>
      </c>
      <c r="D315" s="5">
        <f>IF(C315="","",CHOOSE(C315,"jan","feb","mar","apr","mai","jun","jul","aug","sep","okt","nov","des"))</f>
        <v/>
      </c>
      <c r="E315" s="21" t="n">
        <v>4</v>
      </c>
      <c r="F315" s="21" t="n">
        <v>4</v>
      </c>
      <c r="G315" s="21" t="n">
        <v>4</v>
      </c>
      <c r="H315" s="18">
        <f>IF(COUNT(E315:G315)&lt;3,"",ROUND(IF(OR(E315=1,F315=1),MIN('Les meg'!$C$25,E315*'Les meg'!$C$21+F315*'Les meg'!$C$22+G315*'Les meg'!$C$23),E315*'Les meg'!$C$21+F315*'Les meg'!$C$22+G315*'Les meg'!$C$23),1))</f>
        <v/>
      </c>
      <c r="I315" s="21" t="n">
        <v>29.4</v>
      </c>
      <c r="J315" s="21" t="n">
        <v>98</v>
      </c>
      <c r="K315" s="21" t="inlineStr">
        <is>
          <t>Varmt, fint i nordøst.</t>
        </is>
      </c>
    </row>
    <row r="316">
      <c r="A316" s="21" t="inlineStr">
        <is>
          <t>BRA-NE</t>
        </is>
      </c>
      <c r="B316" s="5">
        <f>IFERROR(INDEX(Destinasjoner!$E$5:$E$64,MATCH(A316,Destinasjoner!$A$5:$A$64,0)),"")</f>
        <v/>
      </c>
      <c r="C316" s="21" t="n">
        <v>12</v>
      </c>
      <c r="D316" s="5">
        <f>IF(C316="","",CHOOSE(C316,"jan","feb","mar","apr","mai","jun","jul","aug","sep","okt","nov","des"))</f>
        <v/>
      </c>
      <c r="E316" s="21" t="n">
        <v>3</v>
      </c>
      <c r="F316" s="21" t="n">
        <v>4</v>
      </c>
      <c r="G316" s="21" t="n">
        <v>2</v>
      </c>
      <c r="H316" s="18">
        <f>IF(COUNT(E316:G316)&lt;3,"",ROUND(IF(OR(E316=1,F316=1),MIN('Les meg'!$C$25,E316*'Les meg'!$C$21+F316*'Les meg'!$C$22+G316*'Les meg'!$C$23),E316*'Les meg'!$C$21+F316*'Les meg'!$C$22+G316*'Les meg'!$C$23),1))</f>
        <v/>
      </c>
      <c r="I316" s="21" t="n">
        <v>30.3</v>
      </c>
      <c r="J316" s="21" t="n">
        <v>134</v>
      </c>
      <c r="K316" s="21" t="inlineStr">
        <is>
          <t>Varmt, regn i Rio. Nyttår på Copacabana – dyrt.</t>
        </is>
      </c>
    </row>
    <row r="317">
      <c r="A317" s="21" t="inlineStr">
        <is>
          <t>ECU-GAL</t>
        </is>
      </c>
      <c r="B317" s="5">
        <f>IFERROR(INDEX(Destinasjoner!$E$5:$E$64,MATCH(A317,Destinasjoner!$A$5:$A$64,0)),"")</f>
        <v/>
      </c>
      <c r="C317" s="21" t="n">
        <v>1</v>
      </c>
      <c r="D317" s="5">
        <f>IF(C317="","",CHOOSE(C317,"jan","feb","mar","apr","mai","jun","jul","aug","sep","okt","nov","des"))</f>
        <v/>
      </c>
      <c r="E317" s="21" t="n">
        <v>4</v>
      </c>
      <c r="F317" s="21" t="n">
        <v>5</v>
      </c>
      <c r="G317" s="21" t="n">
        <v>3</v>
      </c>
      <c r="H317" s="18">
        <f>IF(COUNT(E317:G317)&lt;3,"",ROUND(IF(OR(E317=1,F317=1),MIN('Les meg'!$C$25,E317*'Les meg'!$C$21+F317*'Les meg'!$C$22+G317*'Les meg'!$C$23),E317*'Les meg'!$C$21+F317*'Les meg'!$C$22+G317*'Les meg'!$C$23),1))</f>
        <v/>
      </c>
      <c r="I317" s="21" t="n">
        <v>29.2</v>
      </c>
      <c r="J317" s="21" t="n">
        <v>83</v>
      </c>
      <c r="K317" s="21" t="inlineStr">
        <is>
          <t>Varm sesong: rolig sjø, varmt vann, grønt.</t>
        </is>
      </c>
    </row>
    <row r="318">
      <c r="A318" s="21" t="inlineStr">
        <is>
          <t>ECU-GAL</t>
        </is>
      </c>
      <c r="B318" s="5">
        <f>IFERROR(INDEX(Destinasjoner!$E$5:$E$64,MATCH(A318,Destinasjoner!$A$5:$A$64,0)),"")</f>
        <v/>
      </c>
      <c r="C318" s="21" t="n">
        <v>2</v>
      </c>
      <c r="D318" s="5">
        <f>IF(C318="","",CHOOSE(C318,"jan","feb","mar","apr","mai","jun","jul","aug","sep","okt","nov","des"))</f>
        <v/>
      </c>
      <c r="E318" s="21" t="n">
        <v>4</v>
      </c>
      <c r="F318" s="21" t="n">
        <v>5</v>
      </c>
      <c r="G318" s="21" t="n">
        <v>3</v>
      </c>
      <c r="H318" s="18">
        <f>IF(COUNT(E318:G318)&lt;3,"",ROUND(IF(OR(E318=1,F318=1),MIN('Les meg'!$C$25,E318*'Les meg'!$C$21+F318*'Les meg'!$C$22+G318*'Les meg'!$C$23),E318*'Les meg'!$C$21+F318*'Les meg'!$C$22+G318*'Les meg'!$C$23),1))</f>
        <v/>
      </c>
      <c r="I318" s="21" t="n">
        <v>30.3</v>
      </c>
      <c r="J318" s="21" t="n">
        <v>107</v>
      </c>
      <c r="K318" s="21" t="inlineStr">
        <is>
          <t>Varmest; skilpaddeklekking.</t>
        </is>
      </c>
    </row>
    <row r="319">
      <c r="A319" s="21" t="inlineStr">
        <is>
          <t>ECU-GAL</t>
        </is>
      </c>
      <c r="B319" s="5">
        <f>IFERROR(INDEX(Destinasjoner!$E$5:$E$64,MATCH(A319,Destinasjoner!$A$5:$A$64,0)),"")</f>
        <v/>
      </c>
      <c r="C319" s="21" t="n">
        <v>3</v>
      </c>
      <c r="D319" s="5">
        <f>IF(C319="","",CHOOSE(C319,"jan","feb","mar","apr","mai","jun","jul","aug","sep","okt","nov","des"))</f>
        <v/>
      </c>
      <c r="E319" s="21" t="n">
        <v>4</v>
      </c>
      <c r="F319" s="21" t="n">
        <v>5</v>
      </c>
      <c r="G319" s="21" t="n">
        <v>4</v>
      </c>
      <c r="H319" s="18">
        <f>IF(COUNT(E319:G319)&lt;3,"",ROUND(IF(OR(E319=1,F319=1),MIN('Les meg'!$C$25,E319*'Les meg'!$C$21+F319*'Les meg'!$C$22+G319*'Les meg'!$C$23),E319*'Les meg'!$C$21+F319*'Les meg'!$C$22+G319*'Les meg'!$C$23),1))</f>
        <v/>
      </c>
      <c r="I319" s="21" t="n">
        <v>30.5</v>
      </c>
      <c r="J319" s="21" t="n">
        <v>106</v>
      </c>
      <c r="K319" s="21" t="inlineStr">
        <is>
          <t>Varmt vann, rolig hav.</t>
        </is>
      </c>
    </row>
    <row r="320">
      <c r="A320" s="21" t="inlineStr">
        <is>
          <t>ECU-GAL</t>
        </is>
      </c>
      <c r="B320" s="5">
        <f>IFERROR(INDEX(Destinasjoner!$E$5:$E$64,MATCH(A320,Destinasjoner!$A$5:$A$64,0)),"")</f>
        <v/>
      </c>
      <c r="C320" s="21" t="n">
        <v>4</v>
      </c>
      <c r="D320" s="5">
        <f>IF(C320="","",CHOOSE(C320,"jan","feb","mar","apr","mai","jun","jul","aug","sep","okt","nov","des"))</f>
        <v/>
      </c>
      <c r="E320" s="21" t="n">
        <v>4</v>
      </c>
      <c r="F320" s="21" t="n">
        <v>5</v>
      </c>
      <c r="G320" s="21" t="n">
        <v>4</v>
      </c>
      <c r="H320" s="18">
        <f>IF(COUNT(E320:G320)&lt;3,"",ROUND(IF(OR(E320=1,F320=1),MIN('Les meg'!$C$25,E320*'Les meg'!$C$21+F320*'Les meg'!$C$22+G320*'Les meg'!$C$23),E320*'Les meg'!$C$21+F320*'Les meg'!$C$22+G320*'Les meg'!$C$23),1))</f>
        <v/>
      </c>
      <c r="I320" s="21" t="n">
        <v>30.2</v>
      </c>
      <c r="J320" s="21" t="n">
        <v>95</v>
      </c>
      <c r="K320" s="21" t="inlineStr">
        <is>
          <t>Varmt vann, rolig hav.</t>
        </is>
      </c>
    </row>
    <row r="321">
      <c r="A321" s="21" t="inlineStr">
        <is>
          <t>ECU-GAL</t>
        </is>
      </c>
      <c r="B321" s="5">
        <f>IFERROR(INDEX(Destinasjoner!$E$5:$E$64,MATCH(A321,Destinasjoner!$A$5:$A$64,0)),"")</f>
        <v/>
      </c>
      <c r="C321" s="21" t="n">
        <v>5</v>
      </c>
      <c r="D321" s="5">
        <f>IF(C321="","",CHOOSE(C321,"jan","feb","mar","apr","mai","jun","jul","aug","sep","okt","nov","des"))</f>
        <v/>
      </c>
      <c r="E321" s="21" t="n">
        <v>5</v>
      </c>
      <c r="F321" s="21" t="n">
        <v>5</v>
      </c>
      <c r="G321" s="21" t="n">
        <v>4</v>
      </c>
      <c r="H321" s="18">
        <f>IF(COUNT(E321:G321)&lt;3,"",ROUND(IF(OR(E321=1,F321=1),MIN('Les meg'!$C$25,E321*'Les meg'!$C$21+F321*'Les meg'!$C$22+G321*'Les meg'!$C$23),E321*'Les meg'!$C$21+F321*'Les meg'!$C$22+G321*'Les meg'!$C$23),1))</f>
        <v/>
      </c>
      <c r="I321" s="21" t="n">
        <v>29.2</v>
      </c>
      <c r="J321" s="21" t="n">
        <v>42</v>
      </c>
      <c r="K321" s="21" t="inlineStr">
        <is>
          <t>Overgang; albatrosser på Española. Ofte beste måned.</t>
        </is>
      </c>
    </row>
    <row r="322">
      <c r="A322" s="21" t="inlineStr">
        <is>
          <t>ECU-GAL</t>
        </is>
      </c>
      <c r="B322" s="5">
        <f>IFERROR(INDEX(Destinasjoner!$E$5:$E$64,MATCH(A322,Destinasjoner!$A$5:$A$64,0)),"")</f>
        <v/>
      </c>
      <c r="C322" s="21" t="n">
        <v>6</v>
      </c>
      <c r="D322" s="5">
        <f>IF(C322="","",CHOOSE(C322,"jan","feb","mar","apr","mai","jun","jul","aug","sep","okt","nov","des"))</f>
        <v/>
      </c>
      <c r="E322" s="21" t="n">
        <v>4</v>
      </c>
      <c r="F322" s="21" t="n">
        <v>5</v>
      </c>
      <c r="G322" s="21" t="n">
        <v>3</v>
      </c>
      <c r="H322" s="18">
        <f>IF(COUNT(E322:G322)&lt;3,"",ROUND(IF(OR(E322=1,F322=1),MIN('Les meg'!$C$25,E322*'Les meg'!$C$21+F322*'Les meg'!$C$22+G322*'Les meg'!$C$23),E322*'Les meg'!$C$21+F322*'Les meg'!$C$22+G322*'Les meg'!$C$23),1))</f>
        <v/>
      </c>
      <c r="I322" s="21" t="n">
        <v>27.6</v>
      </c>
      <c r="J322" s="21" t="n">
        <v>33</v>
      </c>
      <c r="K322" s="21" t="inlineStr">
        <is>
          <t>Garúa-sesong: kjøligere, mer liv i havet.</t>
        </is>
      </c>
    </row>
    <row r="323">
      <c r="A323" s="21" t="inlineStr">
        <is>
          <t>ECU-GAL</t>
        </is>
      </c>
      <c r="B323" s="5">
        <f>IFERROR(INDEX(Destinasjoner!$E$5:$E$64,MATCH(A323,Destinasjoner!$A$5:$A$64,0)),"")</f>
        <v/>
      </c>
      <c r="C323" s="21" t="n">
        <v>7</v>
      </c>
      <c r="D323" s="5">
        <f>IF(C323="","",CHOOSE(C323,"jan","feb","mar","apr","mai","jun","jul","aug","sep","okt","nov","des"))</f>
        <v/>
      </c>
      <c r="E323" s="21" t="n">
        <v>4</v>
      </c>
      <c r="F323" s="21" t="n">
        <v>5</v>
      </c>
      <c r="G323" s="21" t="n">
        <v>2</v>
      </c>
      <c r="H323" s="18">
        <f>IF(COUNT(E323:G323)&lt;3,"",ROUND(IF(OR(E323=1,F323=1),MIN('Les meg'!$C$25,E323*'Les meg'!$C$21+F323*'Les meg'!$C$22+G323*'Les meg'!$C$23),E323*'Les meg'!$C$21+F323*'Les meg'!$C$22+G323*'Les meg'!$C$23),1))</f>
        <v/>
      </c>
      <c r="I323" s="21" t="n">
        <v>26.4</v>
      </c>
      <c r="J323" s="21" t="n">
        <v>19</v>
      </c>
      <c r="K323" s="21" t="inlineStr">
        <is>
          <t>Kaldt vann, mye dyreliv. Sommerferie.</t>
        </is>
      </c>
    </row>
    <row r="324">
      <c r="A324" s="21" t="inlineStr">
        <is>
          <t>ECU-GAL</t>
        </is>
      </c>
      <c r="B324" s="5">
        <f>IFERROR(INDEX(Destinasjoner!$E$5:$E$64,MATCH(A324,Destinasjoner!$A$5:$A$64,0)),"")</f>
        <v/>
      </c>
      <c r="C324" s="21" t="n">
        <v>8</v>
      </c>
      <c r="D324" s="5">
        <f>IF(C324="","",CHOOSE(C324,"jan","feb","mar","apr","mai","jun","jul","aug","sep","okt","nov","des"))</f>
        <v/>
      </c>
      <c r="E324" s="21" t="n">
        <v>3</v>
      </c>
      <c r="F324" s="21" t="n">
        <v>5</v>
      </c>
      <c r="G324" s="21" t="n">
        <v>2</v>
      </c>
      <c r="H324" s="18">
        <f>IF(COUNT(E324:G324)&lt;3,"",ROUND(IF(OR(E324=1,F324=1),MIN('Les meg'!$C$25,E324*'Les meg'!$C$21+F324*'Les meg'!$C$22+G324*'Les meg'!$C$23),E324*'Les meg'!$C$21+F324*'Les meg'!$C$22+G324*'Les meg'!$C$23),1))</f>
        <v/>
      </c>
      <c r="I324" s="21" t="n">
        <v>25.6</v>
      </c>
      <c r="J324" s="21" t="n">
        <v>10</v>
      </c>
      <c r="K324" s="21" t="inlineStr">
        <is>
          <t>Kjøligst, grovere sjø; blåfotsuler parer seg.</t>
        </is>
      </c>
    </row>
    <row r="325">
      <c r="A325" s="21" t="inlineStr">
        <is>
          <t>ECU-GAL</t>
        </is>
      </c>
      <c r="B325" s="5">
        <f>IFERROR(INDEX(Destinasjoner!$E$5:$E$64,MATCH(A325,Destinasjoner!$A$5:$A$64,0)),"")</f>
        <v/>
      </c>
      <c r="C325" s="21" t="n">
        <v>9</v>
      </c>
      <c r="D325" s="5">
        <f>IF(C325="","",CHOOSE(C325,"jan","feb","mar","apr","mai","jun","jul","aug","sep","okt","nov","des"))</f>
        <v/>
      </c>
      <c r="E325" s="21" t="n">
        <v>3</v>
      </c>
      <c r="F325" s="21" t="n">
        <v>4</v>
      </c>
      <c r="G325" s="21" t="n">
        <v>4</v>
      </c>
      <c r="H325" s="18">
        <f>IF(COUNT(E325:G325)&lt;3,"",ROUND(IF(OR(E325=1,F325=1),MIN('Les meg'!$C$25,E325*'Les meg'!$C$21+F325*'Les meg'!$C$22+G325*'Les meg'!$C$23),E325*'Les meg'!$C$21+F325*'Les meg'!$C$22+G325*'Les meg'!$C$23),1))</f>
        <v/>
      </c>
      <c r="I325" s="21" t="n">
        <v>25.7</v>
      </c>
      <c r="J325" s="21" t="n">
        <v>8</v>
      </c>
      <c r="K325" s="21" t="inlineStr">
        <is>
          <t>Grovest sjø; mange båter i dokk.</t>
        </is>
      </c>
    </row>
    <row r="326">
      <c r="A326" s="21" t="inlineStr">
        <is>
          <t>ECU-GAL</t>
        </is>
      </c>
      <c r="B326" s="5">
        <f>IFERROR(INDEX(Destinasjoner!$E$5:$E$64,MATCH(A326,Destinasjoner!$A$5:$A$64,0)),"")</f>
        <v/>
      </c>
      <c r="C326" s="21" t="n">
        <v>10</v>
      </c>
      <c r="D326" s="5">
        <f>IF(C326="","",CHOOSE(C326,"jan","feb","mar","apr","mai","jun","jul","aug","sep","okt","nov","des"))</f>
        <v/>
      </c>
      <c r="E326" s="21" t="n">
        <v>3</v>
      </c>
      <c r="F326" s="21" t="n">
        <v>4</v>
      </c>
      <c r="G326" s="21" t="n">
        <v>4</v>
      </c>
      <c r="H326" s="18">
        <f>IF(COUNT(E326:G326)&lt;3,"",ROUND(IF(OR(E326=1,F326=1),MIN('Les meg'!$C$25,E326*'Les meg'!$C$21+F326*'Les meg'!$C$22+G326*'Les meg'!$C$23),E326*'Les meg'!$C$21+F326*'Les meg'!$C$22+G326*'Les meg'!$C$23),1))</f>
        <v/>
      </c>
      <c r="I326" s="21" t="n">
        <v>26</v>
      </c>
      <c r="J326" s="21" t="n">
        <v>11</v>
      </c>
      <c r="K326" s="21" t="inlineStr">
        <is>
          <t>Kjølig og tørt.</t>
        </is>
      </c>
    </row>
    <row r="327">
      <c r="A327" s="21" t="inlineStr">
        <is>
          <t>ECU-GAL</t>
        </is>
      </c>
      <c r="B327" s="5">
        <f>IFERROR(INDEX(Destinasjoner!$E$5:$E$64,MATCH(A327,Destinasjoner!$A$5:$A$64,0)),"")</f>
        <v/>
      </c>
      <c r="C327" s="21" t="n">
        <v>11</v>
      </c>
      <c r="D327" s="5">
        <f>IF(C327="","",CHOOSE(C327,"jan","feb","mar","apr","mai","jun","jul","aug","sep","okt","nov","des"))</f>
        <v/>
      </c>
      <c r="E327" s="21" t="n">
        <v>4</v>
      </c>
      <c r="F327" s="21" t="n">
        <v>4</v>
      </c>
      <c r="G327" s="21" t="n">
        <v>4</v>
      </c>
      <c r="H327" s="18">
        <f>IF(COUNT(E327:G327)&lt;3,"",ROUND(IF(OR(E327=1,F327=1),MIN('Les meg'!$C$25,E327*'Les meg'!$C$21+F327*'Les meg'!$C$22+G327*'Les meg'!$C$23),E327*'Les meg'!$C$21+F327*'Les meg'!$C$22+G327*'Les meg'!$C$23),1))</f>
        <v/>
      </c>
      <c r="I327" s="21" t="n">
        <v>27</v>
      </c>
      <c r="J327" s="21" t="n">
        <v>13</v>
      </c>
      <c r="K327" s="21" t="inlineStr">
        <is>
          <t>Roligere hav; sjøløveunger.</t>
        </is>
      </c>
    </row>
    <row r="328">
      <c r="A328" s="21" t="inlineStr">
        <is>
          <t>ECU-GAL</t>
        </is>
      </c>
      <c r="B328" s="5">
        <f>IFERROR(INDEX(Destinasjoner!$E$5:$E$64,MATCH(A328,Destinasjoner!$A$5:$A$64,0)),"")</f>
        <v/>
      </c>
      <c r="C328" s="21" t="n">
        <v>12</v>
      </c>
      <c r="D328" s="5">
        <f>IF(C328="","",CHOOSE(C328,"jan","feb","mar","apr","mai","jun","jul","aug","sep","okt","nov","des"))</f>
        <v/>
      </c>
      <c r="E328" s="21" t="n">
        <v>4</v>
      </c>
      <c r="F328" s="21" t="n">
        <v>5</v>
      </c>
      <c r="G328" s="21" t="n">
        <v>2</v>
      </c>
      <c r="H328" s="18">
        <f>IF(COUNT(E328:G328)&lt;3,"",ROUND(IF(OR(E328=1,F328=1),MIN('Les meg'!$C$25,E328*'Les meg'!$C$21+F328*'Les meg'!$C$22+G328*'Les meg'!$C$23),E328*'Les meg'!$C$21+F328*'Les meg'!$C$22+G328*'Les meg'!$C$23),1))</f>
        <v/>
      </c>
      <c r="I328" s="21" t="n">
        <v>27.8</v>
      </c>
      <c r="J328" s="21" t="n">
        <v>52</v>
      </c>
      <c r="K328" s="21" t="inlineStr">
        <is>
          <t>Varmere; jul/nyttår dyrt.</t>
        </is>
      </c>
    </row>
    <row r="329">
      <c r="A329" s="21" t="inlineStr">
        <is>
          <t>ATA</t>
        </is>
      </c>
      <c r="B329" s="5">
        <f>IFERROR(INDEX(Destinasjoner!$E$5:$E$64,MATCH(A329,Destinasjoner!$A$5:$A$64,0)),"")</f>
        <v/>
      </c>
      <c r="C329" s="21" t="n">
        <v>1</v>
      </c>
      <c r="D329" s="5">
        <f>IF(C329="","",CHOOSE(C329,"jan","feb","mar","apr","mai","jun","jul","aug","sep","okt","nov","des"))</f>
        <v/>
      </c>
      <c r="E329" s="21" t="n">
        <v>5</v>
      </c>
      <c r="F329" s="21" t="n">
        <v>5</v>
      </c>
      <c r="G329" s="21" t="n">
        <v>2</v>
      </c>
      <c r="H329" s="18">
        <f>IF(COUNT(E329:G329)&lt;3,"",ROUND(IF(OR(E329=1,F329=1),MIN('Les meg'!$C$25,E329*'Les meg'!$C$21+F329*'Les meg'!$C$22+G329*'Les meg'!$C$23),E329*'Les meg'!$C$21+F329*'Les meg'!$C$22+G329*'Les meg'!$C$23),1))</f>
        <v/>
      </c>
      <c r="I329" s="21" t="n">
        <v>4.3</v>
      </c>
      <c r="J329" s="21" t="n">
        <v>56</v>
      </c>
      <c r="K329" s="21" t="inlineStr">
        <is>
          <t>Høysesong: pingvinunger, nesten døgnlys. Dyrest.</t>
        </is>
      </c>
    </row>
    <row r="330">
      <c r="A330" s="21" t="inlineStr">
        <is>
          <t>ATA</t>
        </is>
      </c>
      <c r="B330" s="5">
        <f>IFERROR(INDEX(Destinasjoner!$E$5:$E$64,MATCH(A330,Destinasjoner!$A$5:$A$64,0)),"")</f>
        <v/>
      </c>
      <c r="C330" s="21" t="n">
        <v>2</v>
      </c>
      <c r="D330" s="5">
        <f>IF(C330="","",CHOOSE(C330,"jan","feb","mar","apr","mai","jun","jul","aug","sep","okt","nov","des"))</f>
        <v/>
      </c>
      <c r="E330" s="21" t="n">
        <v>4</v>
      </c>
      <c r="F330" s="21" t="n">
        <v>5</v>
      </c>
      <c r="G330" s="21" t="n">
        <v>3</v>
      </c>
      <c r="H330" s="18">
        <f>IF(COUNT(E330:G330)&lt;3,"",ROUND(IF(OR(E330=1,F330=1),MIN('Les meg'!$C$25,E330*'Les meg'!$C$21+F330*'Les meg'!$C$22+G330*'Les meg'!$C$23),E330*'Les meg'!$C$21+F330*'Les meg'!$C$22+G330*'Les meg'!$C$23),1))</f>
        <v/>
      </c>
      <c r="I330" s="21" t="n">
        <v>3.9</v>
      </c>
      <c r="J330" s="21" t="n">
        <v>65</v>
      </c>
      <c r="K330" s="21" t="inlineStr">
        <is>
          <t>Hval øker, ungene store, mindre is.</t>
        </is>
      </c>
    </row>
    <row r="331">
      <c r="A331" s="21" t="inlineStr">
        <is>
          <t>ATA</t>
        </is>
      </c>
      <c r="B331" s="5">
        <f>IFERROR(INDEX(Destinasjoner!$E$5:$E$64,MATCH(A331,Destinasjoner!$A$5:$A$64,0)),"")</f>
        <v/>
      </c>
      <c r="C331" s="21" t="n">
        <v>3</v>
      </c>
      <c r="D331" s="5">
        <f>IF(C331="","",CHOOSE(C331,"jan","feb","mar","apr","mai","jun","jul","aug","sep","okt","nov","des"))</f>
        <v/>
      </c>
      <c r="E331" s="21" t="n">
        <v>3</v>
      </c>
      <c r="F331" s="21" t="n">
        <v>4</v>
      </c>
      <c r="G331" s="21" t="n">
        <v>4</v>
      </c>
      <c r="H331" s="18">
        <f>IF(COUNT(E331:G331)&lt;3,"",ROUND(IF(OR(E331=1,F331=1),MIN('Les meg'!$C$25,E331*'Les meg'!$C$21+F331*'Les meg'!$C$22+G331*'Les meg'!$C$23),E331*'Les meg'!$C$21+F331*'Les meg'!$C$22+G331*'Les meg'!$C$23),1))</f>
        <v/>
      </c>
      <c r="I331" s="21" t="n">
        <v>1.4</v>
      </c>
      <c r="J331" s="21" t="n">
        <v>76</v>
      </c>
      <c r="K331" s="21" t="inlineStr">
        <is>
          <t>Best for hval, kortere dager, siste avganger.</t>
        </is>
      </c>
    </row>
    <row r="332">
      <c r="A332" s="21" t="inlineStr">
        <is>
          <t>ATA</t>
        </is>
      </c>
      <c r="B332" s="5">
        <f>IFERROR(INDEX(Destinasjoner!$E$5:$E$64,MATCH(A332,Destinasjoner!$A$5:$A$64,0)),"")</f>
        <v/>
      </c>
      <c r="C332" s="21" t="n">
        <v>4</v>
      </c>
      <c r="D332" s="5">
        <f>IF(C332="","",CHOOSE(C332,"jan","feb","mar","apr","mai","jun","jul","aug","sep","okt","nov","des"))</f>
        <v/>
      </c>
      <c r="E332" s="21" t="n">
        <v>1</v>
      </c>
      <c r="F332" s="21" t="n">
        <v>1</v>
      </c>
      <c r="G332" s="21" t="n">
        <v>3</v>
      </c>
      <c r="H332" s="18">
        <f>IF(COUNT(E332:G332)&lt;3,"",ROUND(IF(OR(E332=1,F332=1),MIN('Les meg'!$C$25,E332*'Les meg'!$C$21+F332*'Les meg'!$C$22+G332*'Les meg'!$C$23),E332*'Les meg'!$C$21+F332*'Les meg'!$C$22+G332*'Les meg'!$C$23),1))</f>
        <v/>
      </c>
      <c r="I332" s="21" t="n">
        <v>-1.7</v>
      </c>
      <c r="J332" s="21" t="n">
        <v>59</v>
      </c>
      <c r="K332" s="21" t="inlineStr">
        <is>
          <t>Ingen ordinære ekspedisjoner (vinter).</t>
        </is>
      </c>
    </row>
    <row r="333">
      <c r="A333" s="21" t="inlineStr">
        <is>
          <t>ATA</t>
        </is>
      </c>
      <c r="B333" s="5">
        <f>IFERROR(INDEX(Destinasjoner!$E$5:$E$64,MATCH(A333,Destinasjoner!$A$5:$A$64,0)),"")</f>
        <v/>
      </c>
      <c r="C333" s="21" t="n">
        <v>5</v>
      </c>
      <c r="D333" s="5">
        <f>IF(C333="","",CHOOSE(C333,"jan","feb","mar","apr","mai","jun","jul","aug","sep","okt","nov","des"))</f>
        <v/>
      </c>
      <c r="E333" s="21" t="n">
        <v>1</v>
      </c>
      <c r="F333" s="21" t="n">
        <v>1</v>
      </c>
      <c r="G333" s="21" t="n">
        <v>3</v>
      </c>
      <c r="H333" s="18">
        <f>IF(COUNT(E333:G333)&lt;3,"",ROUND(IF(OR(E333=1,F333=1),MIN('Les meg'!$C$25,E333*'Les meg'!$C$21+F333*'Les meg'!$C$22+G333*'Les meg'!$C$23),E333*'Les meg'!$C$21+F333*'Les meg'!$C$22+G333*'Les meg'!$C$23),1))</f>
        <v/>
      </c>
      <c r="I333" s="21" t="n">
        <v>-3.2</v>
      </c>
      <c r="J333" s="21" t="n">
        <v>54</v>
      </c>
      <c r="K333" s="21" t="inlineStr">
        <is>
          <t>Ingen ordinære ekspedisjoner (vinter).</t>
        </is>
      </c>
    </row>
    <row r="334">
      <c r="A334" s="21" t="inlineStr">
        <is>
          <t>ATA</t>
        </is>
      </c>
      <c r="B334" s="5">
        <f>IFERROR(INDEX(Destinasjoner!$E$5:$E$64,MATCH(A334,Destinasjoner!$A$5:$A$64,0)),"")</f>
        <v/>
      </c>
      <c r="C334" s="21" t="n">
        <v>6</v>
      </c>
      <c r="D334" s="5">
        <f>IF(C334="","",CHOOSE(C334,"jan","feb","mar","apr","mai","jun","jul","aug","sep","okt","nov","des"))</f>
        <v/>
      </c>
      <c r="E334" s="21" t="n">
        <v>1</v>
      </c>
      <c r="F334" s="21" t="n">
        <v>1</v>
      </c>
      <c r="G334" s="21" t="n">
        <v>3</v>
      </c>
      <c r="H334" s="18">
        <f>IF(COUNT(E334:G334)&lt;3,"",ROUND(IF(OR(E334=1,F334=1),MIN('Les meg'!$C$25,E334*'Les meg'!$C$21+F334*'Les meg'!$C$22+G334*'Les meg'!$C$23),E334*'Les meg'!$C$21+F334*'Les meg'!$C$22+G334*'Les meg'!$C$23),1))</f>
        <v/>
      </c>
      <c r="I334" s="21" t="n">
        <v>-6.2</v>
      </c>
      <c r="J334" s="21" t="n">
        <v>47</v>
      </c>
      <c r="K334" s="21" t="inlineStr">
        <is>
          <t>Ingen ordinære ekspedisjoner (vinter).</t>
        </is>
      </c>
    </row>
    <row r="335">
      <c r="A335" s="21" t="inlineStr">
        <is>
          <t>ATA</t>
        </is>
      </c>
      <c r="B335" s="5">
        <f>IFERROR(INDEX(Destinasjoner!$E$5:$E$64,MATCH(A335,Destinasjoner!$A$5:$A$64,0)),"")</f>
        <v/>
      </c>
      <c r="C335" s="21" t="n">
        <v>7</v>
      </c>
      <c r="D335" s="5">
        <f>IF(C335="","",CHOOSE(C335,"jan","feb","mar","apr","mai","jun","jul","aug","sep","okt","nov","des"))</f>
        <v/>
      </c>
      <c r="E335" s="21" t="n">
        <v>1</v>
      </c>
      <c r="F335" s="21" t="n">
        <v>1</v>
      </c>
      <c r="G335" s="21" t="n">
        <v>3</v>
      </c>
      <c r="H335" s="18">
        <f>IF(COUNT(E335:G335)&lt;3,"",ROUND(IF(OR(E335=1,F335=1),MIN('Les meg'!$C$25,E335*'Les meg'!$C$21+F335*'Les meg'!$C$22+G335*'Les meg'!$C$23),E335*'Les meg'!$C$21+F335*'Les meg'!$C$22+G335*'Les meg'!$C$23),1))</f>
        <v/>
      </c>
      <c r="I335" s="21" t="n">
        <v>-6.4</v>
      </c>
      <c r="J335" s="21" t="n">
        <v>54</v>
      </c>
      <c r="K335" s="21" t="inlineStr">
        <is>
          <t>Ingen ordinære ekspedisjoner (vinter).</t>
        </is>
      </c>
    </row>
    <row r="336">
      <c r="A336" s="21" t="inlineStr">
        <is>
          <t>ATA</t>
        </is>
      </c>
      <c r="B336" s="5">
        <f>IFERROR(INDEX(Destinasjoner!$E$5:$E$64,MATCH(A336,Destinasjoner!$A$5:$A$64,0)),"")</f>
        <v/>
      </c>
      <c r="C336" s="21" t="n">
        <v>8</v>
      </c>
      <c r="D336" s="5">
        <f>IF(C336="","",CHOOSE(C336,"jan","feb","mar","apr","mai","jun","jul","aug","sep","okt","nov","des"))</f>
        <v/>
      </c>
      <c r="E336" s="21" t="n">
        <v>1</v>
      </c>
      <c r="F336" s="21" t="n">
        <v>1</v>
      </c>
      <c r="G336" s="21" t="n">
        <v>3</v>
      </c>
      <c r="H336" s="18">
        <f>IF(COUNT(E336:G336)&lt;3,"",ROUND(IF(OR(E336=1,F336=1),MIN('Les meg'!$C$25,E336*'Les meg'!$C$21+F336*'Les meg'!$C$22+G336*'Les meg'!$C$23),E336*'Les meg'!$C$21+F336*'Les meg'!$C$22+G336*'Les meg'!$C$23),1))</f>
        <v/>
      </c>
      <c r="I336" s="21" t="n">
        <v>-5.1</v>
      </c>
      <c r="J336" s="21" t="n">
        <v>72</v>
      </c>
      <c r="K336" s="21" t="inlineStr">
        <is>
          <t>Ingen ordinære ekspedisjoner (vinter).</t>
        </is>
      </c>
    </row>
    <row r="337">
      <c r="A337" s="21" t="inlineStr">
        <is>
          <t>ATA</t>
        </is>
      </c>
      <c r="B337" s="5">
        <f>IFERROR(INDEX(Destinasjoner!$E$5:$E$64,MATCH(A337,Destinasjoner!$A$5:$A$64,0)),"")</f>
        <v/>
      </c>
      <c r="C337" s="21" t="n">
        <v>9</v>
      </c>
      <c r="D337" s="5">
        <f>IF(C337="","",CHOOSE(C337,"jan","feb","mar","apr","mai","jun","jul","aug","sep","okt","nov","des"))</f>
        <v/>
      </c>
      <c r="E337" s="21" t="n">
        <v>1</v>
      </c>
      <c r="F337" s="21" t="n">
        <v>1</v>
      </c>
      <c r="G337" s="21" t="n">
        <v>3</v>
      </c>
      <c r="H337" s="18">
        <f>IF(COUNT(E337:G337)&lt;3,"",ROUND(IF(OR(E337=1,F337=1),MIN('Les meg'!$C$25,E337*'Les meg'!$C$21+F337*'Les meg'!$C$22+G337*'Les meg'!$C$23),E337*'Les meg'!$C$21+F337*'Les meg'!$C$22+G337*'Les meg'!$C$23),1))</f>
        <v/>
      </c>
      <c r="I337" s="21" t="n">
        <v>-2.6</v>
      </c>
      <c r="J337" s="21" t="n">
        <v>62</v>
      </c>
      <c r="K337" s="21" t="inlineStr">
        <is>
          <t>Ingen ordinære ekspedisjoner (vinter).</t>
        </is>
      </c>
    </row>
    <row r="338">
      <c r="A338" s="21" t="inlineStr">
        <is>
          <t>ATA</t>
        </is>
      </c>
      <c r="B338" s="5">
        <f>IFERROR(INDEX(Destinasjoner!$E$5:$E$64,MATCH(A338,Destinasjoner!$A$5:$A$64,0)),"")</f>
        <v/>
      </c>
      <c r="C338" s="21" t="n">
        <v>10</v>
      </c>
      <c r="D338" s="5">
        <f>IF(C338="","",CHOOSE(C338,"jan","feb","mar","apr","mai","jun","jul","aug","sep","okt","nov","des"))</f>
        <v/>
      </c>
      <c r="E338" s="21" t="n">
        <v>1</v>
      </c>
      <c r="F338" s="21" t="n">
        <v>1</v>
      </c>
      <c r="G338" s="21" t="n">
        <v>3</v>
      </c>
      <c r="H338" s="18">
        <f>IF(COUNT(E338:G338)&lt;3,"",ROUND(IF(OR(E338=1,F338=1),MIN('Les meg'!$C$25,E338*'Les meg'!$C$21+F338*'Les meg'!$C$22+G338*'Les meg'!$C$23),E338*'Les meg'!$C$21+F338*'Les meg'!$C$22+G338*'Les meg'!$C$23),1))</f>
        <v/>
      </c>
      <c r="I338" s="21" t="n">
        <v>-0.2</v>
      </c>
      <c r="J338" s="21" t="n">
        <v>56</v>
      </c>
      <c r="K338" s="21" t="inlineStr">
        <is>
          <t>Ingen ordinære ekspedisjoner (vinter).</t>
        </is>
      </c>
    </row>
    <row r="339">
      <c r="A339" s="21" t="inlineStr">
        <is>
          <t>ATA</t>
        </is>
      </c>
      <c r="B339" s="5">
        <f>IFERROR(INDEX(Destinasjoner!$E$5:$E$64,MATCH(A339,Destinasjoner!$A$5:$A$64,0)),"")</f>
        <v/>
      </c>
      <c r="C339" s="21" t="n">
        <v>11</v>
      </c>
      <c r="D339" s="5">
        <f>IF(C339="","",CHOOSE(C339,"jan","feb","mar","apr","mai","jun","jul","aug","sep","okt","nov","des"))</f>
        <v/>
      </c>
      <c r="E339" s="21" t="n">
        <v>4</v>
      </c>
      <c r="F339" s="21" t="n">
        <v>4</v>
      </c>
      <c r="G339" s="21" t="n">
        <v>4</v>
      </c>
      <c r="H339" s="18">
        <f>IF(COUNT(E339:G339)&lt;3,"",ROUND(IF(OR(E339=1,F339=1),MIN('Les meg'!$C$25,E339*'Les meg'!$C$21+F339*'Les meg'!$C$22+G339*'Les meg'!$C$23),E339*'Les meg'!$C$21+F339*'Les meg'!$C$22+G339*'Les meg'!$C$23),1))</f>
        <v/>
      </c>
      <c r="I339" s="21" t="n">
        <v>2.3</v>
      </c>
      <c r="J339" s="21" t="n">
        <v>65</v>
      </c>
      <c r="K339" s="21" t="inlineStr">
        <is>
          <t>Sesongåpning: uberørt snø, pingvinkurtise, mye is. Noe lavere priser.</t>
        </is>
      </c>
    </row>
    <row r="340">
      <c r="A340" s="21" t="inlineStr">
        <is>
          <t>ATA</t>
        </is>
      </c>
      <c r="B340" s="5">
        <f>IFERROR(INDEX(Destinasjoner!$E$5:$E$64,MATCH(A340,Destinasjoner!$A$5:$A$64,0)),"")</f>
        <v/>
      </c>
      <c r="C340" s="21" t="n">
        <v>12</v>
      </c>
      <c r="D340" s="5">
        <f>IF(C340="","",CHOOSE(C340,"jan","feb","mar","apr","mai","jun","jul","aug","sep","okt","nov","des"))</f>
        <v/>
      </c>
      <c r="E340" s="21" t="n">
        <v>5</v>
      </c>
      <c r="F340" s="21" t="n">
        <v>5</v>
      </c>
      <c r="G340" s="21" t="n">
        <v>2</v>
      </c>
      <c r="H340" s="18">
        <f>IF(COUNT(E340:G340)&lt;3,"",ROUND(IF(OR(E340=1,F340=1),MIN('Les meg'!$C$25,E340*'Les meg'!$C$21+F340*'Les meg'!$C$22+G340*'Les meg'!$C$23),E340*'Les meg'!$C$21+F340*'Les meg'!$C$22+G340*'Les meg'!$C$23),1))</f>
        <v/>
      </c>
      <c r="I340" s="21" t="n">
        <v>3.8</v>
      </c>
      <c r="J340" s="21" t="n">
        <v>59</v>
      </c>
      <c r="K340" s="21" t="inlineStr">
        <is>
          <t>Høysesong, lange dager. Klekking starter mot slutten av måneden.</t>
        </is>
      </c>
    </row>
    <row r="341">
      <c r="A341" s="21" t="inlineStr">
        <is>
          <t>MEX-CDMX</t>
        </is>
      </c>
      <c r="B341" s="5">
        <f>IFERROR(INDEX(Destinasjoner!$E$5:$E$64,MATCH(A341,Destinasjoner!$A$5:$A$64,0)),"")</f>
        <v/>
      </c>
      <c r="C341" s="21" t="n">
        <v>1</v>
      </c>
      <c r="D341" s="5">
        <f>IF(C341="","",CHOOSE(C341,"jan","feb","mar","apr","mai","jun","jul","aug","sep","okt","nov","des"))</f>
        <v/>
      </c>
      <c r="E341" s="21" t="n">
        <v>4</v>
      </c>
      <c r="F341" s="21" t="n">
        <v>4</v>
      </c>
      <c r="G341" s="21" t="n">
        <v>4</v>
      </c>
      <c r="H341" s="18">
        <f>IF(COUNT(E341:G341)&lt;3,"",ROUND(IF(OR(E341=1,F341=1),MIN('Les meg'!$C$25,E341*'Les meg'!$C$21+F341*'Les meg'!$C$22+G341*'Les meg'!$C$23),E341*'Les meg'!$C$21+F341*'Les meg'!$C$22+G341*'Les meg'!$C$23),1))</f>
        <v/>
      </c>
      <c r="I341" s="21" t="n">
        <v>22.4</v>
      </c>
      <c r="J341" s="21" t="n">
        <v>12</v>
      </c>
      <c r="K341" s="21" t="inlineStr">
        <is>
          <t>Tørt og solrikt; kjølige kvelder.</t>
        </is>
      </c>
    </row>
    <row r="342">
      <c r="A342" s="21" t="inlineStr">
        <is>
          <t>MEX-CDMX</t>
        </is>
      </c>
      <c r="B342" s="5">
        <f>IFERROR(INDEX(Destinasjoner!$E$5:$E$64,MATCH(A342,Destinasjoner!$A$5:$A$64,0)),"")</f>
        <v/>
      </c>
      <c r="C342" s="21" t="n">
        <v>2</v>
      </c>
      <c r="D342" s="5">
        <f>IF(C342="","",CHOOSE(C342,"jan","feb","mar","apr","mai","jun","jul","aug","sep","okt","nov","des"))</f>
        <v/>
      </c>
      <c r="E342" s="21" t="n">
        <v>5</v>
      </c>
      <c r="F342" s="21" t="n">
        <v>4</v>
      </c>
      <c r="G342" s="21" t="n">
        <v>4</v>
      </c>
      <c r="H342" s="18">
        <f>IF(COUNT(E342:G342)&lt;3,"",ROUND(IF(OR(E342=1,F342=1),MIN('Les meg'!$C$25,E342*'Les meg'!$C$21+F342*'Les meg'!$C$22+G342*'Les meg'!$C$23),E342*'Les meg'!$C$21+F342*'Les meg'!$C$22+G342*'Les meg'!$C$23),1))</f>
        <v/>
      </c>
      <c r="I342" s="21" t="n">
        <v>24.3</v>
      </c>
      <c r="J342" s="21" t="n">
        <v>6</v>
      </c>
      <c r="K342" s="21" t="inlineStr">
        <is>
          <t>Tørt og mildt.</t>
        </is>
      </c>
    </row>
    <row r="343">
      <c r="A343" s="21" t="inlineStr">
        <is>
          <t>MEX-CDMX</t>
        </is>
      </c>
      <c r="B343" s="5">
        <f>IFERROR(INDEX(Destinasjoner!$E$5:$E$64,MATCH(A343,Destinasjoner!$A$5:$A$64,0)),"")</f>
        <v/>
      </c>
      <c r="C343" s="21" t="n">
        <v>3</v>
      </c>
      <c r="D343" s="5">
        <f>IF(C343="","",CHOOSE(C343,"jan","feb","mar","apr","mai","jun","jul","aug","sep","okt","nov","des"))</f>
        <v/>
      </c>
      <c r="E343" s="21" t="n">
        <v>5</v>
      </c>
      <c r="F343" s="21" t="n">
        <v>5</v>
      </c>
      <c r="G343" s="21" t="n">
        <v>3</v>
      </c>
      <c r="H343" s="18">
        <f>IF(COUNT(E343:G343)&lt;3,"",ROUND(IF(OR(E343=1,F343=1),MIN('Les meg'!$C$25,E343*'Les meg'!$C$21+F343*'Les meg'!$C$22+G343*'Les meg'!$C$23),E343*'Les meg'!$C$21+F343*'Les meg'!$C$22+G343*'Les meg'!$C$23),1))</f>
        <v/>
      </c>
      <c r="I343" s="21" t="n">
        <v>26.1</v>
      </c>
      <c r="J343" s="21" t="n">
        <v>12</v>
      </c>
      <c r="K343" s="21" t="inlineStr">
        <is>
          <t>Tørt; jakarandablomstring.</t>
        </is>
      </c>
    </row>
    <row r="344">
      <c r="A344" s="21" t="inlineStr">
        <is>
          <t>MEX-CDMX</t>
        </is>
      </c>
      <c r="B344" s="5">
        <f>IFERROR(INDEX(Destinasjoner!$E$5:$E$64,MATCH(A344,Destinasjoner!$A$5:$A$64,0)),"")</f>
        <v/>
      </c>
      <c r="C344" s="21" t="n">
        <v>4</v>
      </c>
      <c r="D344" s="5">
        <f>IF(C344="","",CHOOSE(C344,"jan","feb","mar","apr","mai","jun","jul","aug","sep","okt","nov","des"))</f>
        <v/>
      </c>
      <c r="E344" s="21" t="n">
        <v>4</v>
      </c>
      <c r="F344" s="21" t="n">
        <v>4</v>
      </c>
      <c r="G344" s="21" t="n">
        <v>3</v>
      </c>
      <c r="H344" s="18">
        <f>IF(COUNT(E344:G344)&lt;3,"",ROUND(IF(OR(E344=1,F344=1),MIN('Les meg'!$C$25,E344*'Les meg'!$C$21+F344*'Les meg'!$C$22+G344*'Les meg'!$C$23),E344*'Les meg'!$C$21+F344*'Les meg'!$C$22+G344*'Les meg'!$C$23),1))</f>
        <v/>
      </c>
      <c r="I344" s="21" t="n">
        <v>27.5</v>
      </c>
      <c r="J344" s="21" t="n">
        <v>24</v>
      </c>
      <c r="K344" s="21" t="inlineStr">
        <is>
          <t>Varmest; smog kan være ille. Semana Santa: byen tømmes.</t>
        </is>
      </c>
    </row>
    <row r="345">
      <c r="A345" s="21" t="inlineStr">
        <is>
          <t>MEX-CDMX</t>
        </is>
      </c>
      <c r="B345" s="5">
        <f>IFERROR(INDEX(Destinasjoner!$E$5:$E$64,MATCH(A345,Destinasjoner!$A$5:$A$64,0)),"")</f>
        <v/>
      </c>
      <c r="C345" s="21" t="n">
        <v>5</v>
      </c>
      <c r="D345" s="5">
        <f>IF(C345="","",CHOOSE(C345,"jan","feb","mar","apr","mai","jun","jul","aug","sep","okt","nov","des"))</f>
        <v/>
      </c>
      <c r="E345" s="21" t="n">
        <v>3</v>
      </c>
      <c r="F345" s="21" t="n">
        <v>4</v>
      </c>
      <c r="G345" s="21" t="n">
        <v>4</v>
      </c>
      <c r="H345" s="18">
        <f>IF(COUNT(E345:G345)&lt;3,"",ROUND(IF(OR(E345=1,F345=1),MIN('Les meg'!$C$25,E345*'Les meg'!$C$21+F345*'Les meg'!$C$22+G345*'Les meg'!$C$23),E345*'Les meg'!$C$21+F345*'Les meg'!$C$22+G345*'Les meg'!$C$23),1))</f>
        <v/>
      </c>
      <c r="I345" s="21" t="n">
        <v>27.2</v>
      </c>
      <c r="J345" s="21" t="n">
        <v>59</v>
      </c>
      <c r="K345" s="21" t="inlineStr">
        <is>
          <t>Varmt og disig; regnet starter mot slutten.</t>
        </is>
      </c>
    </row>
    <row r="346">
      <c r="A346" s="21" t="inlineStr">
        <is>
          <t>MEX-CDMX</t>
        </is>
      </c>
      <c r="B346" s="5">
        <f>IFERROR(INDEX(Destinasjoner!$E$5:$E$64,MATCH(A346,Destinasjoner!$A$5:$A$64,0)),"")</f>
        <v/>
      </c>
      <c r="C346" s="21" t="n">
        <v>6</v>
      </c>
      <c r="D346" s="5">
        <f>IF(C346="","",CHOOSE(C346,"jan","feb","mar","apr","mai","jun","jul","aug","sep","okt","nov","des"))</f>
        <v/>
      </c>
      <c r="E346" s="21" t="n">
        <v>3</v>
      </c>
      <c r="F346" s="21" t="n">
        <v>4</v>
      </c>
      <c r="G346" s="21" t="n">
        <v>4</v>
      </c>
      <c r="H346" s="18">
        <f>IF(COUNT(E346:G346)&lt;3,"",ROUND(IF(OR(E346=1,F346=1),MIN('Les meg'!$C$25,E346*'Les meg'!$C$21+F346*'Les meg'!$C$22+G346*'Les meg'!$C$23),E346*'Les meg'!$C$21+F346*'Les meg'!$C$22+G346*'Les meg'!$C$23),1))</f>
        <v/>
      </c>
      <c r="I346" s="21" t="n">
        <v>25.8</v>
      </c>
      <c r="J346" s="21" t="n">
        <v>133</v>
      </c>
      <c r="K346" s="21" t="inlineStr">
        <is>
          <t>Regntid: ettermiddagsbyger, fine formiddager.</t>
        </is>
      </c>
    </row>
    <row r="347">
      <c r="A347" s="21" t="inlineStr">
        <is>
          <t>MEX-CDMX</t>
        </is>
      </c>
      <c r="B347" s="5">
        <f>IFERROR(INDEX(Destinasjoner!$E$5:$E$64,MATCH(A347,Destinasjoner!$A$5:$A$64,0)),"")</f>
        <v/>
      </c>
      <c r="C347" s="21" t="n">
        <v>7</v>
      </c>
      <c r="D347" s="5">
        <f>IF(C347="","",CHOOSE(C347,"jan","feb","mar","apr","mai","jun","jul","aug","sep","okt","nov","des"))</f>
        <v/>
      </c>
      <c r="E347" s="21" t="n">
        <v>3</v>
      </c>
      <c r="F347" s="21" t="n">
        <v>4</v>
      </c>
      <c r="G347" s="21" t="n">
        <v>4</v>
      </c>
      <c r="H347" s="18">
        <f>IF(COUNT(E347:G347)&lt;3,"",ROUND(IF(OR(E347=1,F347=1),MIN('Les meg'!$C$25,E347*'Les meg'!$C$21+F347*'Les meg'!$C$22+G347*'Les meg'!$C$23),E347*'Les meg'!$C$21+F347*'Les meg'!$C$22+G347*'Les meg'!$C$23),1))</f>
        <v/>
      </c>
      <c r="I347" s="21" t="n">
        <v>24.7</v>
      </c>
      <c r="J347" s="21" t="n">
        <v>174</v>
      </c>
      <c r="K347" s="21" t="inlineStr">
        <is>
          <t>Daglige byger.</t>
        </is>
      </c>
    </row>
    <row r="348">
      <c r="A348" s="21" t="inlineStr">
        <is>
          <t>MEX-CDMX</t>
        </is>
      </c>
      <c r="B348" s="5">
        <f>IFERROR(INDEX(Destinasjoner!$E$5:$E$64,MATCH(A348,Destinasjoner!$A$5:$A$64,0)),"")</f>
        <v/>
      </c>
      <c r="C348" s="21" t="n">
        <v>8</v>
      </c>
      <c r="D348" s="5">
        <f>IF(C348="","",CHOOSE(C348,"jan","feb","mar","apr","mai","jun","jul","aug","sep","okt","nov","des"))</f>
        <v/>
      </c>
      <c r="E348" s="21" t="n">
        <v>3</v>
      </c>
      <c r="F348" s="21" t="n">
        <v>4</v>
      </c>
      <c r="G348" s="21" t="n">
        <v>4</v>
      </c>
      <c r="H348" s="18">
        <f>IF(COUNT(E348:G348)&lt;3,"",ROUND(IF(OR(E348=1,F348=1),MIN('Les meg'!$C$25,E348*'Les meg'!$C$21+F348*'Les meg'!$C$22+G348*'Les meg'!$C$23),E348*'Les meg'!$C$21+F348*'Les meg'!$C$22+G348*'Les meg'!$C$23),1))</f>
        <v/>
      </c>
      <c r="I348" s="21" t="n">
        <v>24.6</v>
      </c>
      <c r="J348" s="21" t="n">
        <v>176</v>
      </c>
      <c r="K348" s="21" t="inlineStr">
        <is>
          <t>Daglige byger.</t>
        </is>
      </c>
    </row>
    <row r="349">
      <c r="A349" s="21" t="inlineStr">
        <is>
          <t>MEX-CDMX</t>
        </is>
      </c>
      <c r="B349" s="5">
        <f>IFERROR(INDEX(Destinasjoner!$E$5:$E$64,MATCH(A349,Destinasjoner!$A$5:$A$64,0)),"")</f>
        <v/>
      </c>
      <c r="C349" s="21" t="n">
        <v>9</v>
      </c>
      <c r="D349" s="5">
        <f>IF(C349="","",CHOOSE(C349,"jan","feb","mar","apr","mai","jun","jul","aug","sep","okt","nov","des"))</f>
        <v/>
      </c>
      <c r="E349" s="21" t="n">
        <v>3</v>
      </c>
      <c r="F349" s="21" t="n">
        <v>4</v>
      </c>
      <c r="G349" s="21" t="n">
        <v>4</v>
      </c>
      <c r="H349" s="18">
        <f>IF(COUNT(E349:G349)&lt;3,"",ROUND(IF(OR(E349=1,F349=1),MIN('Les meg'!$C$25,E349*'Les meg'!$C$21+F349*'Les meg'!$C$22+G349*'Les meg'!$C$23),E349*'Les meg'!$C$21+F349*'Les meg'!$C$22+G349*'Les meg'!$C$23),1))</f>
        <v/>
      </c>
      <c r="I349" s="21" t="n">
        <v>23.7</v>
      </c>
      <c r="J349" s="21" t="n">
        <v>158</v>
      </c>
      <c r="K349" s="21" t="inlineStr">
        <is>
          <t>Byger; nasjonaldag 15.–16.9.</t>
        </is>
      </c>
    </row>
    <row r="350">
      <c r="A350" s="21" t="inlineStr">
        <is>
          <t>MEX-CDMX</t>
        </is>
      </c>
      <c r="B350" s="5">
        <f>IFERROR(INDEX(Destinasjoner!$E$5:$E$64,MATCH(A350,Destinasjoner!$A$5:$A$64,0)),"")</f>
        <v/>
      </c>
      <c r="C350" s="21" t="n">
        <v>10</v>
      </c>
      <c r="D350" s="5">
        <f>IF(C350="","",CHOOSE(C350,"jan","feb","mar","apr","mai","jun","jul","aug","sep","okt","nov","des"))</f>
        <v/>
      </c>
      <c r="E350" s="21" t="n">
        <v>4</v>
      </c>
      <c r="F350" s="21" t="n">
        <v>5</v>
      </c>
      <c r="G350" s="21" t="n">
        <v>4</v>
      </c>
      <c r="H350" s="18">
        <f>IF(COUNT(E350:G350)&lt;3,"",ROUND(IF(OR(E350=1,F350=1),MIN('Les meg'!$C$25,E350*'Les meg'!$C$21+F350*'Les meg'!$C$22+G350*'Les meg'!$C$23),E350*'Les meg'!$C$21+F350*'Les meg'!$C$22+G350*'Les meg'!$C$23),1))</f>
        <v/>
      </c>
      <c r="I350" s="21" t="n">
        <v>23.5</v>
      </c>
      <c r="J350" s="21" t="n">
        <v>71</v>
      </c>
      <c r="K350" s="21" t="inlineStr">
        <is>
          <t>Regnet avtar; oppkjøring til Día de Muertos.</t>
        </is>
      </c>
    </row>
    <row r="351">
      <c r="A351" s="21" t="inlineStr">
        <is>
          <t>MEX-CDMX</t>
        </is>
      </c>
      <c r="B351" s="5">
        <f>IFERROR(INDEX(Destinasjoner!$E$5:$E$64,MATCH(A351,Destinasjoner!$A$5:$A$64,0)),"")</f>
        <v/>
      </c>
      <c r="C351" s="21" t="n">
        <v>11</v>
      </c>
      <c r="D351" s="5">
        <f>IF(C351="","",CHOOSE(C351,"jan","feb","mar","apr","mai","jun","jul","aug","sep","okt","nov","des"))</f>
        <v/>
      </c>
      <c r="E351" s="21" t="n">
        <v>5</v>
      </c>
      <c r="F351" s="21" t="n">
        <v>5</v>
      </c>
      <c r="G351" s="21" t="n">
        <v>2</v>
      </c>
      <c r="H351" s="18">
        <f>IF(COUNT(E351:G351)&lt;3,"",ROUND(IF(OR(E351=1,F351=1),MIN('Les meg'!$C$25,E351*'Les meg'!$C$21+F351*'Les meg'!$C$22+G351*'Les meg'!$C$23),E351*'Les meg'!$C$21+F351*'Les meg'!$C$22+G351*'Les meg'!$C$23),1))</f>
        <v/>
      </c>
      <c r="I351" s="21" t="n">
        <v>22.8</v>
      </c>
      <c r="J351" s="21" t="n">
        <v>17</v>
      </c>
      <c r="K351" s="21" t="inlineStr">
        <is>
          <t>Tørt; Día de Muertos (se Vinduer).</t>
        </is>
      </c>
    </row>
    <row r="352">
      <c r="A352" s="21" t="inlineStr">
        <is>
          <t>MEX-CDMX</t>
        </is>
      </c>
      <c r="B352" s="5">
        <f>IFERROR(INDEX(Destinasjoner!$E$5:$E$64,MATCH(A352,Destinasjoner!$A$5:$A$64,0)),"")</f>
        <v/>
      </c>
      <c r="C352" s="21" t="n">
        <v>12</v>
      </c>
      <c r="D352" s="5">
        <f>IF(C352="","",CHOOSE(C352,"jan","feb","mar","apr","mai","jun","jul","aug","sep","okt","nov","des"))</f>
        <v/>
      </c>
      <c r="E352" s="21" t="n">
        <v>4</v>
      </c>
      <c r="F352" s="21" t="n">
        <v>4</v>
      </c>
      <c r="G352" s="21" t="n">
        <v>3</v>
      </c>
      <c r="H352" s="18">
        <f>IF(COUNT(E352:G352)&lt;3,"",ROUND(IF(OR(E352=1,F352=1),MIN('Les meg'!$C$25,E352*'Les meg'!$C$21+F352*'Les meg'!$C$22+G352*'Les meg'!$C$23),E352*'Les meg'!$C$21+F352*'Les meg'!$C$22+G352*'Les meg'!$C$23),1))</f>
        <v/>
      </c>
      <c r="I352" s="21" t="n">
        <v>22.4</v>
      </c>
      <c r="J352" s="21" t="n">
        <v>5</v>
      </c>
      <c r="K352" s="21" t="inlineStr">
        <is>
          <t>Tørt; jul.</t>
        </is>
      </c>
    </row>
    <row r="353">
      <c r="A353" s="21" t="inlineStr">
        <is>
          <t>RWA</t>
        </is>
      </c>
      <c r="B353" s="5">
        <f>IFERROR(INDEX(Destinasjoner!$E$5:$E$64,MATCH(A353,Destinasjoner!$A$5:$A$64,0)),"")</f>
        <v/>
      </c>
      <c r="C353" s="21" t="n">
        <v>1</v>
      </c>
      <c r="D353" s="5">
        <f>IF(C353="","",CHOOSE(C353,"jan","feb","mar","apr","mai","jun","jul","aug","sep","okt","nov","des"))</f>
        <v/>
      </c>
      <c r="E353" s="21" t="n">
        <v>4</v>
      </c>
      <c r="F353" s="21" t="n">
        <v>5</v>
      </c>
      <c r="G353" s="21" t="n">
        <v>3</v>
      </c>
      <c r="H353" s="18">
        <f>IF(COUNT(E353:G353)&lt;3,"",ROUND(IF(OR(E353=1,F353=1),MIN('Les meg'!$C$25,E353*'Les meg'!$C$21+F353*'Les meg'!$C$22+G353*'Les meg'!$C$23),E353*'Les meg'!$C$21+F353*'Les meg'!$C$22+G353*'Les meg'!$C$23),1))</f>
        <v/>
      </c>
      <c r="I353" s="21" t="n">
        <v>27.5</v>
      </c>
      <c r="J353" s="21" t="n">
        <v>84</v>
      </c>
      <c r="K353" s="21" t="inlineStr">
        <is>
          <t>Kort tørrsesong; gode forhold for gorillavandring.</t>
        </is>
      </c>
    </row>
    <row r="354">
      <c r="A354" s="21" t="inlineStr">
        <is>
          <t>RWA</t>
        </is>
      </c>
      <c r="B354" s="5">
        <f>IFERROR(INDEX(Destinasjoner!$E$5:$E$64,MATCH(A354,Destinasjoner!$A$5:$A$64,0)),"")</f>
        <v/>
      </c>
      <c r="C354" s="21" t="n">
        <v>2</v>
      </c>
      <c r="D354" s="5">
        <f>IF(C354="","",CHOOSE(C354,"jan","feb","mar","apr","mai","jun","jul","aug","sep","okt","nov","des"))</f>
        <v/>
      </c>
      <c r="E354" s="21" t="n">
        <v>4</v>
      </c>
      <c r="F354" s="21" t="n">
        <v>5</v>
      </c>
      <c r="G354" s="21" t="n">
        <v>3</v>
      </c>
      <c r="H354" s="18">
        <f>IF(COUNT(E354:G354)&lt;3,"",ROUND(IF(OR(E354=1,F354=1),MIN('Les meg'!$C$25,E354*'Les meg'!$C$21+F354*'Les meg'!$C$22+G354*'Les meg'!$C$23),E354*'Les meg'!$C$21+F354*'Les meg'!$C$22+G354*'Les meg'!$C$23),1))</f>
        <v/>
      </c>
      <c r="I354" s="21" t="n">
        <v>27.8</v>
      </c>
      <c r="J354" s="21" t="n">
        <v>84</v>
      </c>
      <c r="K354" s="21" t="inlineStr">
        <is>
          <t>Kort tørrsesong.</t>
        </is>
      </c>
    </row>
    <row r="355">
      <c r="A355" s="21" t="inlineStr">
        <is>
          <t>RWA</t>
        </is>
      </c>
      <c r="B355" s="5">
        <f>IFERROR(INDEX(Destinasjoner!$E$5:$E$64,MATCH(A355,Destinasjoner!$A$5:$A$64,0)),"")</f>
        <v/>
      </c>
      <c r="C355" s="21" t="n">
        <v>3</v>
      </c>
      <c r="D355" s="5">
        <f>IF(C355="","",CHOOSE(C355,"jan","feb","mar","apr","mai","jun","jul","aug","sep","okt","nov","des"))</f>
        <v/>
      </c>
      <c r="E355" s="21" t="n">
        <v>3</v>
      </c>
      <c r="F355" s="21" t="n">
        <v>4</v>
      </c>
      <c r="G355" s="21" t="n">
        <v>4</v>
      </c>
      <c r="H355" s="18">
        <f>IF(COUNT(E355:G355)&lt;3,"",ROUND(IF(OR(E355=1,F355=1),MIN('Les meg'!$C$25,E355*'Les meg'!$C$21+F355*'Les meg'!$C$22+G355*'Les meg'!$C$23),E355*'Les meg'!$C$21+F355*'Les meg'!$C$22+G355*'Les meg'!$C$23),1))</f>
        <v/>
      </c>
      <c r="I355" s="21" t="n">
        <v>27.1</v>
      </c>
      <c r="J355" s="21" t="n">
        <v>129</v>
      </c>
      <c r="K355" s="21" t="inlineStr">
        <is>
          <t>Lang regntid starter.</t>
        </is>
      </c>
    </row>
    <row r="356">
      <c r="A356" s="21" t="inlineStr">
        <is>
          <t>RWA</t>
        </is>
      </c>
      <c r="B356" s="5">
        <f>IFERROR(INDEX(Destinasjoner!$E$5:$E$64,MATCH(A356,Destinasjoner!$A$5:$A$64,0)),"")</f>
        <v/>
      </c>
      <c r="C356" s="21" t="n">
        <v>4</v>
      </c>
      <c r="D356" s="5">
        <f>IF(C356="","",CHOOSE(C356,"jan","feb","mar","apr","mai","jun","jul","aug","sep","okt","nov","des"))</f>
        <v/>
      </c>
      <c r="E356" s="21" t="n">
        <v>2</v>
      </c>
      <c r="F356" s="21" t="n">
        <v>3</v>
      </c>
      <c r="G356" s="21" t="n">
        <v>5</v>
      </c>
      <c r="H356" s="18">
        <f>IF(COUNT(E356:G356)&lt;3,"",ROUND(IF(OR(E356=1,F356=1),MIN('Les meg'!$C$25,E356*'Les meg'!$C$21+F356*'Les meg'!$C$22+G356*'Les meg'!$C$23),E356*'Les meg'!$C$21+F356*'Les meg'!$C$22+G356*'Les meg'!$C$23),1))</f>
        <v/>
      </c>
      <c r="I356" s="21" t="n">
        <v>26.4</v>
      </c>
      <c r="J356" s="21" t="n">
        <v>136</v>
      </c>
      <c r="K356" s="21" t="inlineStr">
        <is>
          <t>Mest regn; glatte stier.</t>
        </is>
      </c>
    </row>
    <row r="357">
      <c r="A357" s="21" t="inlineStr">
        <is>
          <t>RWA</t>
        </is>
      </c>
      <c r="B357" s="5">
        <f>IFERROR(INDEX(Destinasjoner!$E$5:$E$64,MATCH(A357,Destinasjoner!$A$5:$A$64,0)),"")</f>
        <v/>
      </c>
      <c r="C357" s="21" t="n">
        <v>5</v>
      </c>
      <c r="D357" s="5">
        <f>IF(C357="","",CHOOSE(C357,"jan","feb","mar","apr","mai","jun","jul","aug","sep","okt","nov","des"))</f>
        <v/>
      </c>
      <c r="E357" s="21" t="n">
        <v>3</v>
      </c>
      <c r="F357" s="21" t="n">
        <v>3</v>
      </c>
      <c r="G357" s="21" t="n">
        <v>4</v>
      </c>
      <c r="H357" s="18">
        <f>IF(COUNT(E357:G357)&lt;3,"",ROUND(IF(OR(E357=1,F357=1),MIN('Les meg'!$C$25,E357*'Les meg'!$C$21+F357*'Les meg'!$C$22+G357*'Les meg'!$C$23),E357*'Les meg'!$C$21+F357*'Les meg'!$C$22+G357*'Les meg'!$C$23),1))</f>
        <v/>
      </c>
      <c r="I357" s="21" t="n">
        <v>26.3</v>
      </c>
      <c r="J357" s="21" t="n">
        <v>89</v>
      </c>
      <c r="K357" s="21" t="inlineStr">
        <is>
          <t>Regnet avtar.</t>
        </is>
      </c>
    </row>
    <row r="358">
      <c r="A358" s="21" t="inlineStr">
        <is>
          <t>RWA</t>
        </is>
      </c>
      <c r="B358" s="5">
        <f>IFERROR(INDEX(Destinasjoner!$E$5:$E$64,MATCH(A358,Destinasjoner!$A$5:$A$64,0)),"")</f>
        <v/>
      </c>
      <c r="C358" s="21" t="n">
        <v>6</v>
      </c>
      <c r="D358" s="5">
        <f>IF(C358="","",CHOOSE(C358,"jan","feb","mar","apr","mai","jun","jul","aug","sep","okt","nov","des"))</f>
        <v/>
      </c>
      <c r="E358" s="21" t="n">
        <v>5</v>
      </c>
      <c r="F358" s="21" t="n">
        <v>5</v>
      </c>
      <c r="G358" s="21" t="n">
        <v>2</v>
      </c>
      <c r="H358" s="18">
        <f>IF(COUNT(E358:G358)&lt;3,"",ROUND(IF(OR(E358=1,F358=1),MIN('Les meg'!$C$25,E358*'Les meg'!$C$21+F358*'Les meg'!$C$22+G358*'Les meg'!$C$23),E358*'Les meg'!$C$21+F358*'Les meg'!$C$22+G358*'Les meg'!$C$23),1))</f>
        <v/>
      </c>
      <c r="I358" s="21" t="n">
        <v>26.7</v>
      </c>
      <c r="J358" s="21" t="n">
        <v>20</v>
      </c>
      <c r="K358" s="21" t="inlineStr">
        <is>
          <t>Tørrsesong: beste gorilla- og sjimpansevandring.</t>
        </is>
      </c>
    </row>
    <row r="359">
      <c r="A359" s="21" t="inlineStr">
        <is>
          <t>RWA</t>
        </is>
      </c>
      <c r="B359" s="5">
        <f>IFERROR(INDEX(Destinasjoner!$E$5:$E$64,MATCH(A359,Destinasjoner!$A$5:$A$64,0)),"")</f>
        <v/>
      </c>
      <c r="C359" s="21" t="n">
        <v>7</v>
      </c>
      <c r="D359" s="5">
        <f>IF(C359="","",CHOOSE(C359,"jan","feb","mar","apr","mai","jun","jul","aug","sep","okt","nov","des"))</f>
        <v/>
      </c>
      <c r="E359" s="21" t="n">
        <v>5</v>
      </c>
      <c r="F359" s="21" t="n">
        <v>5</v>
      </c>
      <c r="G359" s="21" t="n">
        <v>1</v>
      </c>
      <c r="H359" s="18">
        <f>IF(COUNT(E359:G359)&lt;3,"",ROUND(IF(OR(E359=1,F359=1),MIN('Les meg'!$C$25,E359*'Les meg'!$C$21+F359*'Les meg'!$C$22+G359*'Les meg'!$C$23),E359*'Les meg'!$C$21+F359*'Les meg'!$C$22+G359*'Les meg'!$C$23),1))</f>
        <v/>
      </c>
      <c r="I359" s="21" t="n">
        <v>27.4</v>
      </c>
      <c r="J359" s="21" t="n">
        <v>10</v>
      </c>
      <c r="K359" s="21" t="inlineStr">
        <is>
          <t>Tørt; toppsesong – permits utsolgt tidlig.</t>
        </is>
      </c>
    </row>
    <row r="360">
      <c r="A360" s="21" t="inlineStr">
        <is>
          <t>RWA</t>
        </is>
      </c>
      <c r="B360" s="5">
        <f>IFERROR(INDEX(Destinasjoner!$E$5:$E$64,MATCH(A360,Destinasjoner!$A$5:$A$64,0)),"")</f>
        <v/>
      </c>
      <c r="C360" s="21" t="n">
        <v>8</v>
      </c>
      <c r="D360" s="5">
        <f>IF(C360="","",CHOOSE(C360,"jan","feb","mar","apr","mai","jun","jul","aug","sep","okt","nov","des"))</f>
        <v/>
      </c>
      <c r="E360" s="21" t="n">
        <v>5</v>
      </c>
      <c r="F360" s="21" t="n">
        <v>5</v>
      </c>
      <c r="G360" s="21" t="n">
        <v>1</v>
      </c>
      <c r="H360" s="18">
        <f>IF(COUNT(E360:G360)&lt;3,"",ROUND(IF(OR(E360=1,F360=1),MIN('Les meg'!$C$25,E360*'Les meg'!$C$21+F360*'Les meg'!$C$22+G360*'Les meg'!$C$23),E360*'Les meg'!$C$21+F360*'Les meg'!$C$22+G360*'Les meg'!$C$23),1))</f>
        <v/>
      </c>
      <c r="I360" s="21" t="n">
        <v>28.2</v>
      </c>
      <c r="J360" s="21" t="n">
        <v>30</v>
      </c>
      <c r="K360" s="21" t="inlineStr">
        <is>
          <t>Tørt; toppsesong. Akagera på sitt beste.</t>
        </is>
      </c>
    </row>
    <row r="361">
      <c r="A361" s="21" t="inlineStr">
        <is>
          <t>RWA</t>
        </is>
      </c>
      <c r="B361" s="5">
        <f>IFERROR(INDEX(Destinasjoner!$E$5:$E$64,MATCH(A361,Destinasjoner!$A$5:$A$64,0)),"")</f>
        <v/>
      </c>
      <c r="C361" s="21" t="n">
        <v>9</v>
      </c>
      <c r="D361" s="5">
        <f>IF(C361="","",CHOOSE(C361,"jan","feb","mar","apr","mai","jun","jul","aug","sep","okt","nov","des"))</f>
        <v/>
      </c>
      <c r="E361" s="21" t="n">
        <v>4</v>
      </c>
      <c r="F361" s="21" t="n">
        <v>5</v>
      </c>
      <c r="G361" s="21" t="n">
        <v>2</v>
      </c>
      <c r="H361" s="18">
        <f>IF(COUNT(E361:G361)&lt;3,"",ROUND(IF(OR(E361=1,F361=1),MIN('Les meg'!$C$25,E361*'Les meg'!$C$21+F361*'Les meg'!$C$22+G361*'Les meg'!$C$23),E361*'Les meg'!$C$21+F361*'Les meg'!$C$22+G361*'Les meg'!$C$23),1))</f>
        <v/>
      </c>
      <c r="I361" s="21" t="n">
        <v>28.2</v>
      </c>
      <c r="J361" s="21" t="n">
        <v>65</v>
      </c>
      <c r="K361" s="21" t="inlineStr">
        <is>
          <t>Stort sett tørt. Kwita Izina (navnefest for gorillaunger).</t>
        </is>
      </c>
    </row>
    <row r="362">
      <c r="A362" s="21" t="inlineStr">
        <is>
          <t>RWA</t>
        </is>
      </c>
      <c r="B362" s="5">
        <f>IFERROR(INDEX(Destinasjoner!$E$5:$E$64,MATCH(A362,Destinasjoner!$A$5:$A$64,0)),"")</f>
        <v/>
      </c>
      <c r="C362" s="21" t="n">
        <v>10</v>
      </c>
      <c r="D362" s="5">
        <f>IF(C362="","",CHOOSE(C362,"jan","feb","mar","apr","mai","jun","jul","aug","sep","okt","nov","des"))</f>
        <v/>
      </c>
      <c r="E362" s="21" t="n">
        <v>3</v>
      </c>
      <c r="F362" s="21" t="n">
        <v>4</v>
      </c>
      <c r="G362" s="21" t="n">
        <v>4</v>
      </c>
      <c r="H362" s="18">
        <f>IF(COUNT(E362:G362)&lt;3,"",ROUND(IF(OR(E362=1,F362=1),MIN('Les meg'!$C$25,E362*'Les meg'!$C$21+F362*'Les meg'!$C$22+G362*'Les meg'!$C$23),E362*'Les meg'!$C$21+F362*'Les meg'!$C$22+G362*'Les meg'!$C$23),1))</f>
        <v/>
      </c>
      <c r="I362" s="21" t="n">
        <v>27.4</v>
      </c>
      <c r="J362" s="21" t="n">
        <v>109</v>
      </c>
      <c r="K362" s="21" t="inlineStr">
        <is>
          <t>Kort regntid.</t>
        </is>
      </c>
    </row>
    <row r="363">
      <c r="A363" s="21" t="inlineStr">
        <is>
          <t>RWA</t>
        </is>
      </c>
      <c r="B363" s="5">
        <f>IFERROR(INDEX(Destinasjoner!$E$5:$E$64,MATCH(A363,Destinasjoner!$A$5:$A$64,0)),"")</f>
        <v/>
      </c>
      <c r="C363" s="21" t="n">
        <v>11</v>
      </c>
      <c r="D363" s="5">
        <f>IF(C363="","",CHOOSE(C363,"jan","feb","mar","apr","mai","jun","jul","aug","sep","okt","nov","des"))</f>
        <v/>
      </c>
      <c r="E363" s="21" t="n">
        <v>3</v>
      </c>
      <c r="F363" s="21" t="n">
        <v>4</v>
      </c>
      <c r="G363" s="21" t="n">
        <v>4</v>
      </c>
      <c r="H363" s="18">
        <f>IF(COUNT(E363:G363)&lt;3,"",ROUND(IF(OR(E363=1,F363=1),MIN('Les meg'!$C$25,E363*'Les meg'!$C$21+F363*'Les meg'!$C$22+G363*'Les meg'!$C$23),E363*'Les meg'!$C$21+F363*'Les meg'!$C$22+G363*'Les meg'!$C$23),1))</f>
        <v/>
      </c>
      <c r="I363" s="21" t="n">
        <v>26.3</v>
      </c>
      <c r="J363" s="21" t="n">
        <v>121</v>
      </c>
      <c r="K363" s="21" t="inlineStr">
        <is>
          <t>Kort regntid; mindre trengsel.</t>
        </is>
      </c>
    </row>
    <row r="364">
      <c r="A364" s="21" t="inlineStr">
        <is>
          <t>RWA</t>
        </is>
      </c>
      <c r="B364" s="5">
        <f>IFERROR(INDEX(Destinasjoner!$E$5:$E$64,MATCH(A364,Destinasjoner!$A$5:$A$64,0)),"")</f>
        <v/>
      </c>
      <c r="C364" s="21" t="n">
        <v>12</v>
      </c>
      <c r="D364" s="5">
        <f>IF(C364="","",CHOOSE(C364,"jan","feb","mar","apr","mai","jun","jul","aug","sep","okt","nov","des"))</f>
        <v/>
      </c>
      <c r="E364" s="21" t="n">
        <v>4</v>
      </c>
      <c r="F364" s="21" t="n">
        <v>4</v>
      </c>
      <c r="G364" s="21" t="n">
        <v>3</v>
      </c>
      <c r="H364" s="18">
        <f>IF(COUNT(E364:G364)&lt;3,"",ROUND(IF(OR(E364=1,F364=1),MIN('Les meg'!$C$25,E364*'Les meg'!$C$21+F364*'Les meg'!$C$22+G364*'Les meg'!$C$23),E364*'Les meg'!$C$21+F364*'Les meg'!$C$22+G364*'Les meg'!$C$23),1))</f>
        <v/>
      </c>
      <c r="I364" s="21" t="n">
        <v>26.8</v>
      </c>
      <c r="J364" s="21" t="n">
        <v>76</v>
      </c>
      <c r="K364" s="21" t="inlineStr">
        <is>
          <t>Kort tørrsesong starter.</t>
        </is>
      </c>
    </row>
    <row r="365">
      <c r="A365" s="21" t="inlineStr">
        <is>
          <t>GAB</t>
        </is>
      </c>
      <c r="B365" s="5">
        <f>IFERROR(INDEX(Destinasjoner!$E$5:$E$64,MATCH(A365,Destinasjoner!$A$5:$A$64,0)),"")</f>
        <v/>
      </c>
      <c r="C365" s="21" t="n">
        <v>1</v>
      </c>
      <c r="D365" s="5">
        <f>IF(C365="","",CHOOSE(C365,"jan","feb","mar","apr","mai","jun","jul","aug","sep","okt","nov","des"))</f>
        <v/>
      </c>
      <c r="E365" s="21" t="n">
        <v>3</v>
      </c>
      <c r="F365" s="21" t="n">
        <v>4</v>
      </c>
      <c r="G365" s="21" t="n">
        <v>4</v>
      </c>
      <c r="H365" s="18">
        <f>IF(COUNT(E365:G365)&lt;3,"",ROUND(IF(OR(E365=1,F365=1),MIN('Les meg'!$C$25,E365*'Les meg'!$C$21+F365*'Les meg'!$C$22+G365*'Les meg'!$C$23),E365*'Les meg'!$C$21+F365*'Les meg'!$C$22+G365*'Les meg'!$C$23),1))</f>
        <v/>
      </c>
      <c r="I365" s="21" t="n">
        <v>30.6</v>
      </c>
      <c r="J365" s="21" t="n">
        <v>243</v>
      </c>
      <c r="K365" s="21" t="inlineStr">
        <is>
          <t>Kortere tørrere periode; havskilpadder legger egg.</t>
        </is>
      </c>
    </row>
    <row r="366">
      <c r="A366" s="21" t="inlineStr">
        <is>
          <t>GAB</t>
        </is>
      </c>
      <c r="B366" s="5">
        <f>IFERROR(INDEX(Destinasjoner!$E$5:$E$64,MATCH(A366,Destinasjoner!$A$5:$A$64,0)),"")</f>
        <v/>
      </c>
      <c r="C366" s="21" t="n">
        <v>2</v>
      </c>
      <c r="D366" s="5">
        <f>IF(C366="","",CHOOSE(C366,"jan","feb","mar","apr","mai","jun","jul","aug","sep","okt","nov","des"))</f>
        <v/>
      </c>
      <c r="E366" s="21" t="n">
        <v>3</v>
      </c>
      <c r="F366" s="21" t="n">
        <v>4</v>
      </c>
      <c r="G366" s="21" t="n">
        <v>4</v>
      </c>
      <c r="H366" s="18">
        <f>IF(COUNT(E366:G366)&lt;3,"",ROUND(IF(OR(E366=1,F366=1),MIN('Les meg'!$C$25,E366*'Les meg'!$C$21+F366*'Les meg'!$C$22+G366*'Les meg'!$C$23),E366*'Les meg'!$C$21+F366*'Les meg'!$C$22+G366*'Les meg'!$C$23),1))</f>
        <v/>
      </c>
      <c r="I366" s="21" t="n">
        <v>31.1</v>
      </c>
      <c r="J366" s="21" t="n">
        <v>236</v>
      </c>
      <c r="K366" s="21" t="inlineStr">
        <is>
          <t>Skilpadder; noe regn.</t>
        </is>
      </c>
    </row>
    <row r="367">
      <c r="A367" s="21" t="inlineStr">
        <is>
          <t>GAB</t>
        </is>
      </c>
      <c r="B367" s="5">
        <f>IFERROR(INDEX(Destinasjoner!$E$5:$E$64,MATCH(A367,Destinasjoner!$A$5:$A$64,0)),"")</f>
        <v/>
      </c>
      <c r="C367" s="21" t="n">
        <v>3</v>
      </c>
      <c r="D367" s="5">
        <f>IF(C367="","",CHOOSE(C367,"jan","feb","mar","apr","mai","jun","jul","aug","sep","okt","nov","des"))</f>
        <v/>
      </c>
      <c r="E367" s="21" t="n">
        <v>2</v>
      </c>
      <c r="F367" s="21" t="n">
        <v>3</v>
      </c>
      <c r="G367" s="21" t="n">
        <v>5</v>
      </c>
      <c r="H367" s="18">
        <f>IF(COUNT(E367:G367)&lt;3,"",ROUND(IF(OR(E367=1,F367=1),MIN('Les meg'!$C$25,E367*'Les meg'!$C$21+F367*'Les meg'!$C$22+G367*'Les meg'!$C$23),E367*'Les meg'!$C$21+F367*'Les meg'!$C$22+G367*'Les meg'!$C$23),1))</f>
        <v/>
      </c>
      <c r="I367" s="21" t="n">
        <v>31.1</v>
      </c>
      <c r="J367" s="21" t="n">
        <v>338</v>
      </c>
      <c r="K367" s="21" t="inlineStr">
        <is>
          <t>Regntid.</t>
        </is>
      </c>
    </row>
    <row r="368">
      <c r="A368" s="21" t="inlineStr">
        <is>
          <t>GAB</t>
        </is>
      </c>
      <c r="B368" s="5">
        <f>IFERROR(INDEX(Destinasjoner!$E$5:$E$64,MATCH(A368,Destinasjoner!$A$5:$A$64,0)),"")</f>
        <v/>
      </c>
      <c r="C368" s="21" t="n">
        <v>4</v>
      </c>
      <c r="D368" s="5">
        <f>IF(C368="","",CHOOSE(C368,"jan","feb","mar","apr","mai","jun","jul","aug","sep","okt","nov","des"))</f>
        <v/>
      </c>
      <c r="E368" s="21" t="n">
        <v>2</v>
      </c>
      <c r="F368" s="21" t="n">
        <v>3</v>
      </c>
      <c r="G368" s="21" t="n">
        <v>5</v>
      </c>
      <c r="H368" s="18">
        <f>IF(COUNT(E368:G368)&lt;3,"",ROUND(IF(OR(E368=1,F368=1),MIN('Les meg'!$C$25,E368*'Les meg'!$C$21+F368*'Les meg'!$C$22+G368*'Les meg'!$C$23),E368*'Les meg'!$C$21+F368*'Les meg'!$C$22+G368*'Les meg'!$C$23),1))</f>
        <v/>
      </c>
      <c r="I368" s="21" t="n">
        <v>31.1</v>
      </c>
      <c r="J368" s="21" t="n">
        <v>344</v>
      </c>
      <c r="K368" s="21" t="inlineStr">
        <is>
          <t>Regntid.</t>
        </is>
      </c>
    </row>
    <row r="369">
      <c r="A369" s="21" t="inlineStr">
        <is>
          <t>GAB</t>
        </is>
      </c>
      <c r="B369" s="5">
        <f>IFERROR(INDEX(Destinasjoner!$E$5:$E$64,MATCH(A369,Destinasjoner!$A$5:$A$64,0)),"")</f>
        <v/>
      </c>
      <c r="C369" s="21" t="n">
        <v>5</v>
      </c>
      <c r="D369" s="5">
        <f>IF(C369="","",CHOOSE(C369,"jan","feb","mar","apr","mai","jun","jul","aug","sep","okt","nov","des"))</f>
        <v/>
      </c>
      <c r="E369" s="21" t="n">
        <v>2</v>
      </c>
      <c r="F369" s="21" t="n">
        <v>3</v>
      </c>
      <c r="G369" s="21" t="n">
        <v>5</v>
      </c>
      <c r="H369" s="18">
        <f>IF(COUNT(E369:G369)&lt;3,"",ROUND(IF(OR(E369=1,F369=1),MIN('Les meg'!$C$25,E369*'Les meg'!$C$21+F369*'Les meg'!$C$22+G369*'Les meg'!$C$23),E369*'Les meg'!$C$21+F369*'Les meg'!$C$22+G369*'Les meg'!$C$23),1))</f>
        <v/>
      </c>
      <c r="I369" s="21" t="n">
        <v>30.6</v>
      </c>
      <c r="J369" s="21" t="n">
        <v>246</v>
      </c>
      <c r="K369" s="21" t="inlineStr">
        <is>
          <t>Regntid.</t>
        </is>
      </c>
    </row>
    <row r="370">
      <c r="A370" s="21" t="inlineStr">
        <is>
          <t>GAB</t>
        </is>
      </c>
      <c r="B370" s="5">
        <f>IFERROR(INDEX(Destinasjoner!$E$5:$E$64,MATCH(A370,Destinasjoner!$A$5:$A$64,0)),"")</f>
        <v/>
      </c>
      <c r="C370" s="21" t="n">
        <v>6</v>
      </c>
      <c r="D370" s="5">
        <f>IF(C370="","",CHOOSE(C370,"jan","feb","mar","apr","mai","jun","jul","aug","sep","okt","nov","des"))</f>
        <v/>
      </c>
      <c r="E370" s="21" t="n">
        <v>4</v>
      </c>
      <c r="F370" s="21" t="n">
        <v>4</v>
      </c>
      <c r="G370" s="21" t="n">
        <v>4</v>
      </c>
      <c r="H370" s="18">
        <f>IF(COUNT(E370:G370)&lt;3,"",ROUND(IF(OR(E370=1,F370=1),MIN('Les meg'!$C$25,E370*'Les meg'!$C$21+F370*'Les meg'!$C$22+G370*'Les meg'!$C$23),E370*'Les meg'!$C$21+F370*'Les meg'!$C$22+G370*'Les meg'!$C$23),1))</f>
        <v/>
      </c>
      <c r="I370" s="21" t="n">
        <v>28.9</v>
      </c>
      <c r="J370" s="21" t="n">
        <v>15</v>
      </c>
      <c r="K370" s="21" t="inlineStr">
        <is>
          <t>Tørrsesong, overskyet og kjølig.</t>
        </is>
      </c>
    </row>
    <row r="371">
      <c r="A371" s="21" t="inlineStr">
        <is>
          <t>GAB</t>
        </is>
      </c>
      <c r="B371" s="5">
        <f>IFERROR(INDEX(Destinasjoner!$E$5:$E$64,MATCH(A371,Destinasjoner!$A$5:$A$64,0)),"")</f>
        <v/>
      </c>
      <c r="C371" s="21" t="n">
        <v>7</v>
      </c>
      <c r="D371" s="5">
        <f>IF(C371="","",CHOOSE(C371,"jan","feb","mar","apr","mai","jun","jul","aug","sep","okt","nov","des"))</f>
        <v/>
      </c>
      <c r="E371" s="21" t="n">
        <v>5</v>
      </c>
      <c r="F371" s="21" t="n">
        <v>5</v>
      </c>
      <c r="G371" s="21" t="n">
        <v>3</v>
      </c>
      <c r="H371" s="18">
        <f>IF(COUNT(E371:G371)&lt;3,"",ROUND(IF(OR(E371=1,F371=1),MIN('Les meg'!$C$25,E371*'Les meg'!$C$21+F371*'Les meg'!$C$22+G371*'Les meg'!$C$23),E371*'Les meg'!$C$21+F371*'Les meg'!$C$22+G371*'Les meg'!$C$23),1))</f>
        <v/>
      </c>
      <c r="I371" s="21" t="n">
        <v>27.8</v>
      </c>
      <c r="J371" s="21" t="n">
        <v>5</v>
      </c>
      <c r="K371" s="21" t="inlineStr">
        <is>
          <t>Tørt; knølhval utenfor Loango.</t>
        </is>
      </c>
    </row>
    <row r="372">
      <c r="A372" s="21" t="inlineStr">
        <is>
          <t>GAB</t>
        </is>
      </c>
      <c r="B372" s="5">
        <f>IFERROR(INDEX(Destinasjoner!$E$5:$E$64,MATCH(A372,Destinasjoner!$A$5:$A$64,0)),"")</f>
        <v/>
      </c>
      <c r="C372" s="21" t="n">
        <v>8</v>
      </c>
      <c r="D372" s="5">
        <f>IF(C372="","",CHOOSE(C372,"jan","feb","mar","apr","mai","jun","jul","aug","sep","okt","nov","des"))</f>
        <v/>
      </c>
      <c r="E372" s="21" t="n">
        <v>5</v>
      </c>
      <c r="F372" s="21" t="n">
        <v>5</v>
      </c>
      <c r="G372" s="21" t="n">
        <v>3</v>
      </c>
      <c r="H372" s="18">
        <f>IF(COUNT(E372:G372)&lt;3,"",ROUND(IF(OR(E372=1,F372=1),MIN('Les meg'!$C$25,E372*'Les meg'!$C$21+F372*'Les meg'!$C$22+G372*'Les meg'!$C$23),E372*'Les meg'!$C$21+F372*'Les meg'!$C$22+G372*'Les meg'!$C$23),1))</f>
        <v/>
      </c>
      <c r="I372" s="21" t="n">
        <v>28.3</v>
      </c>
      <c r="J372" s="21" t="n">
        <v>18</v>
      </c>
      <c r="K372" s="21" t="inlineStr">
        <is>
          <t>Tørt; hval, elefanter på stranden.</t>
        </is>
      </c>
    </row>
    <row r="373">
      <c r="A373" s="21" t="inlineStr">
        <is>
          <t>GAB</t>
        </is>
      </c>
      <c r="B373" s="5">
        <f>IFERROR(INDEX(Destinasjoner!$E$5:$E$64,MATCH(A373,Destinasjoner!$A$5:$A$64,0)),"")</f>
        <v/>
      </c>
      <c r="C373" s="21" t="n">
        <v>9</v>
      </c>
      <c r="D373" s="5">
        <f>IF(C373="","",CHOOSE(C373,"jan","feb","mar","apr","mai","jun","jul","aug","sep","okt","nov","des"))</f>
        <v/>
      </c>
      <c r="E373" s="21" t="n">
        <v>4</v>
      </c>
      <c r="F373" s="21" t="n">
        <v>5</v>
      </c>
      <c r="G373" s="21" t="n">
        <v>4</v>
      </c>
      <c r="H373" s="18">
        <f>IF(COUNT(E373:G373)&lt;3,"",ROUND(IF(OR(E373=1,F373=1),MIN('Les meg'!$C$25,E373*'Les meg'!$C$21+F373*'Les meg'!$C$22+G373*'Les meg'!$C$23),E373*'Les meg'!$C$21+F373*'Les meg'!$C$22+G373*'Les meg'!$C$23),1))</f>
        <v/>
      </c>
      <c r="I373" s="21" t="n">
        <v>28.9</v>
      </c>
      <c r="J373" s="21" t="n">
        <v>114</v>
      </c>
      <c r="K373" s="21" t="inlineStr">
        <is>
          <t>Hval ut måneden; regnet starter.</t>
        </is>
      </c>
    </row>
    <row r="374">
      <c r="A374" s="21" t="inlineStr">
        <is>
          <t>GAB</t>
        </is>
      </c>
      <c r="B374" s="5">
        <f>IFERROR(INDEX(Destinasjoner!$E$5:$E$64,MATCH(A374,Destinasjoner!$A$5:$A$64,0)),"")</f>
        <v/>
      </c>
      <c r="C374" s="21" t="n">
        <v>10</v>
      </c>
      <c r="D374" s="5">
        <f>IF(C374="","",CHOOSE(C374,"jan","feb","mar","apr","mai","jun","jul","aug","sep","okt","nov","des"))</f>
        <v/>
      </c>
      <c r="E374" s="21" t="n">
        <v>2</v>
      </c>
      <c r="F374" s="21" t="n">
        <v>3</v>
      </c>
      <c r="G374" s="21" t="n">
        <v>5</v>
      </c>
      <c r="H374" s="18">
        <f>IF(COUNT(E374:G374)&lt;3,"",ROUND(IF(OR(E374=1,F374=1),MIN('Les meg'!$C$25,E374*'Les meg'!$C$21+F374*'Les meg'!$C$22+G374*'Les meg'!$C$23),E374*'Les meg'!$C$21+F374*'Les meg'!$C$22+G374*'Les meg'!$C$23),1))</f>
        <v/>
      </c>
      <c r="I374" s="21" t="n">
        <v>29.4</v>
      </c>
      <c r="J374" s="21" t="n">
        <v>419</v>
      </c>
      <c r="K374" s="21" t="inlineStr">
        <is>
          <t>Regntid.</t>
        </is>
      </c>
    </row>
    <row r="375">
      <c r="A375" s="21" t="inlineStr">
        <is>
          <t>GAB</t>
        </is>
      </c>
      <c r="B375" s="5">
        <f>IFERROR(INDEX(Destinasjoner!$E$5:$E$64,MATCH(A375,Destinasjoner!$A$5:$A$64,0)),"")</f>
        <v/>
      </c>
      <c r="C375" s="21" t="n">
        <v>11</v>
      </c>
      <c r="D375" s="5">
        <f>IF(C375="","",CHOOSE(C375,"jan","feb","mar","apr","mai","jun","jul","aug","sep","okt","nov","des"))</f>
        <v/>
      </c>
      <c r="E375" s="21" t="n">
        <v>2</v>
      </c>
      <c r="F375" s="21" t="n">
        <v>4</v>
      </c>
      <c r="G375" s="21" t="n">
        <v>5</v>
      </c>
      <c r="H375" s="18">
        <f>IF(COUNT(E375:G375)&lt;3,"",ROUND(IF(OR(E375=1,F375=1),MIN('Les meg'!$C$25,E375*'Les meg'!$C$21+F375*'Les meg'!$C$22+G375*'Les meg'!$C$23),E375*'Les meg'!$C$21+F375*'Les meg'!$C$22+G375*'Les meg'!$C$23),1))</f>
        <v/>
      </c>
      <c r="I375" s="21" t="n">
        <v>29.4</v>
      </c>
      <c r="J375" s="21" t="n">
        <v>464</v>
      </c>
      <c r="K375" s="21" t="inlineStr">
        <is>
          <t>Mest regn; skilpaddesesongen starter.</t>
        </is>
      </c>
    </row>
    <row r="376">
      <c r="A376" s="21" t="inlineStr">
        <is>
          <t>GAB</t>
        </is>
      </c>
      <c r="B376" s="5">
        <f>IFERROR(INDEX(Destinasjoner!$E$5:$E$64,MATCH(A376,Destinasjoner!$A$5:$A$64,0)),"")</f>
        <v/>
      </c>
      <c r="C376" s="21" t="n">
        <v>12</v>
      </c>
      <c r="D376" s="5">
        <f>IF(C376="","",CHOOSE(C376,"jan","feb","mar","apr","mai","jun","jul","aug","sep","okt","nov","des"))</f>
        <v/>
      </c>
      <c r="E376" s="21" t="n">
        <v>2</v>
      </c>
      <c r="F376" s="21" t="n">
        <v>4</v>
      </c>
      <c r="G376" s="21" t="n">
        <v>4</v>
      </c>
      <c r="H376" s="18">
        <f>IF(COUNT(E376:G376)&lt;3,"",ROUND(IF(OR(E376=1,F376=1),MIN('Les meg'!$C$25,E376*'Les meg'!$C$21+F376*'Les meg'!$C$22+G376*'Les meg'!$C$23),E376*'Les meg'!$C$21+F376*'Les meg'!$C$22+G376*'Les meg'!$C$23),1))</f>
        <v/>
      </c>
      <c r="I376" s="21" t="n">
        <v>30</v>
      </c>
      <c r="J376" s="21" t="n">
        <v>298</v>
      </c>
      <c r="K376" s="21" t="inlineStr">
        <is>
          <t>Vått; skilpadder.</t>
        </is>
      </c>
    </row>
    <row r="377">
      <c r="A377" s="21" t="inlineStr">
        <is>
          <t>GHA</t>
        </is>
      </c>
      <c r="B377" s="5">
        <f>IFERROR(INDEX(Destinasjoner!$E$5:$E$64,MATCH(A377,Destinasjoner!$A$5:$A$64,0)),"")</f>
        <v/>
      </c>
      <c r="C377" s="21" t="n">
        <v>1</v>
      </c>
      <c r="D377" s="5">
        <f>IF(C377="","",CHOOSE(C377,"jan","feb","mar","apr","mai","jun","jul","aug","sep","okt","nov","des"))</f>
        <v/>
      </c>
      <c r="E377" s="21" t="n">
        <v>3</v>
      </c>
      <c r="F377" s="21" t="n">
        <v>4</v>
      </c>
      <c r="G377" s="21" t="n">
        <v>4</v>
      </c>
      <c r="H377" s="18">
        <f>IF(COUNT(E377:G377)&lt;3,"",ROUND(IF(OR(E377=1,F377=1),MIN('Les meg'!$C$25,E377*'Les meg'!$C$21+F377*'Les meg'!$C$22+G377*'Les meg'!$C$23),E377*'Les meg'!$C$21+F377*'Les meg'!$C$22+G377*'Les meg'!$C$23),1))</f>
        <v/>
      </c>
      <c r="I377" s="21" t="n">
        <v>32.6</v>
      </c>
      <c r="J377" s="21" t="n">
        <v>12</v>
      </c>
      <c r="K377" s="21" t="inlineStr">
        <is>
          <t>Tørt, men harmattan-dis (støv, grå himmel).</t>
        </is>
      </c>
    </row>
    <row r="378">
      <c r="A378" s="21" t="inlineStr">
        <is>
          <t>GHA</t>
        </is>
      </c>
      <c r="B378" s="5">
        <f>IFERROR(INDEX(Destinasjoner!$E$5:$E$64,MATCH(A378,Destinasjoner!$A$5:$A$64,0)),"")</f>
        <v/>
      </c>
      <c r="C378" s="21" t="n">
        <v>2</v>
      </c>
      <c r="D378" s="5">
        <f>IF(C378="","",CHOOSE(C378,"jan","feb","mar","apr","mai","jun","jul","aug","sep","okt","nov","des"))</f>
        <v/>
      </c>
      <c r="E378" s="21" t="n">
        <v>3</v>
      </c>
      <c r="F378" s="21" t="n">
        <v>3</v>
      </c>
      <c r="G378" s="21" t="n">
        <v>4</v>
      </c>
      <c r="H378" s="18">
        <f>IF(COUNT(E378:G378)&lt;3,"",ROUND(IF(OR(E378=1,F378=1),MIN('Les meg'!$C$25,E378*'Les meg'!$C$21+F378*'Les meg'!$C$22+G378*'Les meg'!$C$23),E378*'Les meg'!$C$21+F378*'Les meg'!$C$22+G378*'Les meg'!$C$23),1))</f>
        <v/>
      </c>
      <c r="I378" s="21" t="n">
        <v>33</v>
      </c>
      <c r="J378" s="21" t="n">
        <v>26</v>
      </c>
      <c r="K378" s="21" t="inlineStr">
        <is>
          <t>Tørt og varmt, harmattan.</t>
        </is>
      </c>
    </row>
    <row r="379">
      <c r="A379" s="21" t="inlineStr">
        <is>
          <t>GHA</t>
        </is>
      </c>
      <c r="B379" s="5">
        <f>IFERROR(INDEX(Destinasjoner!$E$5:$E$64,MATCH(A379,Destinasjoner!$A$5:$A$64,0)),"")</f>
        <v/>
      </c>
      <c r="C379" s="21" t="n">
        <v>3</v>
      </c>
      <c r="D379" s="5">
        <f>IF(C379="","",CHOOSE(C379,"jan","feb","mar","apr","mai","jun","jul","aug","sep","okt","nov","des"))</f>
        <v/>
      </c>
      <c r="E379" s="21" t="n">
        <v>3</v>
      </c>
      <c r="F379" s="21" t="n">
        <v>3</v>
      </c>
      <c r="G379" s="21" t="n">
        <v>4</v>
      </c>
      <c r="H379" s="18">
        <f>IF(COUNT(E379:G379)&lt;3,"",ROUND(IF(OR(E379=1,F379=1),MIN('Les meg'!$C$25,E379*'Les meg'!$C$21+F379*'Les meg'!$C$22+G379*'Les meg'!$C$23),E379*'Les meg'!$C$21+F379*'Les meg'!$C$22+G379*'Les meg'!$C$23),1))</f>
        <v/>
      </c>
      <c r="I379" s="21" t="n">
        <v>33</v>
      </c>
      <c r="J379" s="21" t="n">
        <v>61</v>
      </c>
      <c r="K379" s="21" t="inlineStr">
        <is>
          <t>Hetest og fuktig.</t>
        </is>
      </c>
    </row>
    <row r="380">
      <c r="A380" s="21" t="inlineStr">
        <is>
          <t>GHA</t>
        </is>
      </c>
      <c r="B380" s="5">
        <f>IFERROR(INDEX(Destinasjoner!$E$5:$E$64,MATCH(A380,Destinasjoner!$A$5:$A$64,0)),"")</f>
        <v/>
      </c>
      <c r="C380" s="21" t="n">
        <v>4</v>
      </c>
      <c r="D380" s="5">
        <f>IF(C380="","",CHOOSE(C380,"jan","feb","mar","apr","mai","jun","jul","aug","sep","okt","nov","des"))</f>
        <v/>
      </c>
      <c r="E380" s="21" t="n">
        <v>3</v>
      </c>
      <c r="F380" s="21" t="n">
        <v>3</v>
      </c>
      <c r="G380" s="21" t="n">
        <v>4</v>
      </c>
      <c r="H380" s="18">
        <f>IF(COUNT(E380:G380)&lt;3,"",ROUND(IF(OR(E380=1,F380=1),MIN('Les meg'!$C$25,E380*'Les meg'!$C$21+F380*'Les meg'!$C$22+G380*'Les meg'!$C$23),E380*'Les meg'!$C$21+F380*'Les meg'!$C$22+G380*'Les meg'!$C$23),1))</f>
        <v/>
      </c>
      <c r="I380" s="21" t="n">
        <v>32.7</v>
      </c>
      <c r="J380" s="21" t="n">
        <v>88</v>
      </c>
      <c r="K380" s="21" t="inlineStr">
        <is>
          <t>Regntiden starter.</t>
        </is>
      </c>
    </row>
    <row r="381">
      <c r="A381" s="21" t="inlineStr">
        <is>
          <t>GHA</t>
        </is>
      </c>
      <c r="B381" s="5">
        <f>IFERROR(INDEX(Destinasjoner!$E$5:$E$64,MATCH(A381,Destinasjoner!$A$5:$A$64,0)),"")</f>
        <v/>
      </c>
      <c r="C381" s="21" t="n">
        <v>5</v>
      </c>
      <c r="D381" s="5">
        <f>IF(C381="","",CHOOSE(C381,"jan","feb","mar","apr","mai","jun","jul","aug","sep","okt","nov","des"))</f>
        <v/>
      </c>
      <c r="E381" s="21" t="n">
        <v>2</v>
      </c>
      <c r="F381" s="21" t="n">
        <v>2</v>
      </c>
      <c r="G381" s="21" t="n">
        <v>5</v>
      </c>
      <c r="H381" s="18">
        <f>IF(COUNT(E381:G381)&lt;3,"",ROUND(IF(OR(E381=1,F381=1),MIN('Les meg'!$C$25,E381*'Les meg'!$C$21+F381*'Les meg'!$C$22+G381*'Les meg'!$C$23),E381*'Les meg'!$C$21+F381*'Les meg'!$C$22+G381*'Les meg'!$C$23),1))</f>
        <v/>
      </c>
      <c r="I381" s="21" t="n">
        <v>31.8</v>
      </c>
      <c r="J381" s="21" t="n">
        <v>151</v>
      </c>
      <c r="K381" s="21" t="inlineStr">
        <is>
          <t>Regntid.</t>
        </is>
      </c>
    </row>
    <row r="382">
      <c r="A382" s="21" t="inlineStr">
        <is>
          <t>GHA</t>
        </is>
      </c>
      <c r="B382" s="5">
        <f>IFERROR(INDEX(Destinasjoner!$E$5:$E$64,MATCH(A382,Destinasjoner!$A$5:$A$64,0)),"")</f>
        <v/>
      </c>
      <c r="C382" s="21" t="n">
        <v>6</v>
      </c>
      <c r="D382" s="5">
        <f>IF(C382="","",CHOOSE(C382,"jan","feb","mar","apr","mai","jun","jul","aug","sep","okt","nov","des"))</f>
        <v/>
      </c>
      <c r="E382" s="21" t="n">
        <v>2</v>
      </c>
      <c r="F382" s="21" t="n">
        <v>2</v>
      </c>
      <c r="G382" s="21" t="n">
        <v>5</v>
      </c>
      <c r="H382" s="18">
        <f>IF(COUNT(E382:G382)&lt;3,"",ROUND(IF(OR(E382=1,F382=1),MIN('Les meg'!$C$25,E382*'Les meg'!$C$21+F382*'Les meg'!$C$22+G382*'Les meg'!$C$23),E382*'Les meg'!$C$21+F382*'Les meg'!$C$22+G382*'Les meg'!$C$23),1))</f>
        <v/>
      </c>
      <c r="I382" s="21" t="n">
        <v>29.8</v>
      </c>
      <c r="J382" s="21" t="n">
        <v>190</v>
      </c>
      <c r="K382" s="21" t="inlineStr">
        <is>
          <t>Mest regn.</t>
        </is>
      </c>
    </row>
    <row r="383">
      <c r="A383" s="21" t="inlineStr">
        <is>
          <t>GHA</t>
        </is>
      </c>
      <c r="B383" s="5">
        <f>IFERROR(INDEX(Destinasjoner!$E$5:$E$64,MATCH(A383,Destinasjoner!$A$5:$A$64,0)),"")</f>
        <v/>
      </c>
      <c r="C383" s="21" t="n">
        <v>7</v>
      </c>
      <c r="D383" s="5">
        <f>IF(C383="","",CHOOSE(C383,"jan","feb","mar","apr","mai","jun","jul","aug","sep","okt","nov","des"))</f>
        <v/>
      </c>
      <c r="E383" s="21" t="n">
        <v>3</v>
      </c>
      <c r="F383" s="21" t="n">
        <v>3</v>
      </c>
      <c r="G383" s="21" t="n">
        <v>4</v>
      </c>
      <c r="H383" s="18">
        <f>IF(COUNT(E383:G383)&lt;3,"",ROUND(IF(OR(E383=1,F383=1),MIN('Les meg'!$C$25,E383*'Les meg'!$C$21+F383*'Les meg'!$C$22+G383*'Les meg'!$C$23),E383*'Les meg'!$C$21+F383*'Les meg'!$C$22+G383*'Les meg'!$C$23),1))</f>
        <v/>
      </c>
      <c r="I383" s="21" t="n">
        <v>28.6</v>
      </c>
      <c r="J383" s="21" t="n">
        <v>63</v>
      </c>
      <c r="K383" s="21" t="inlineStr">
        <is>
          <t>Tørrere og kjøligere, men ofte overskyet.</t>
        </is>
      </c>
    </row>
    <row r="384">
      <c r="A384" s="21" t="inlineStr">
        <is>
          <t>GHA</t>
        </is>
      </c>
      <c r="B384" s="5">
        <f>IFERROR(INDEX(Destinasjoner!$E$5:$E$64,MATCH(A384,Destinasjoner!$A$5:$A$64,0)),"")</f>
        <v/>
      </c>
      <c r="C384" s="21" t="n">
        <v>8</v>
      </c>
      <c r="D384" s="5">
        <f>IF(C384="","",CHOOSE(C384,"jan","feb","mar","apr","mai","jun","jul","aug","sep","okt","nov","des"))</f>
        <v/>
      </c>
      <c r="E384" s="21" t="n">
        <v>4</v>
      </c>
      <c r="F384" s="21" t="n">
        <v>5</v>
      </c>
      <c r="G384" s="21" t="n">
        <v>3</v>
      </c>
      <c r="H384" s="18">
        <f>IF(COUNT(E384:G384)&lt;3,"",ROUND(IF(OR(E384=1,F384=1),MIN('Les meg'!$C$25,E384*'Les meg'!$C$21+F384*'Les meg'!$C$22+G384*'Les meg'!$C$23),E384*'Les meg'!$C$21+F384*'Les meg'!$C$22+G384*'Les meg'!$C$23),1))</f>
        <v/>
      </c>
      <c r="I384" s="21" t="n">
        <v>28.4</v>
      </c>
      <c r="J384" s="21" t="n">
        <v>21</v>
      </c>
      <c r="K384" s="21" t="inlineStr">
        <is>
          <t>Kjøligst og tørt; Chale Wote og PANAFEST (se Vinduer).</t>
        </is>
      </c>
    </row>
    <row r="385">
      <c r="A385" s="21" t="inlineStr">
        <is>
          <t>GHA</t>
        </is>
      </c>
      <c r="B385" s="5">
        <f>IFERROR(INDEX(Destinasjoner!$E$5:$E$64,MATCH(A385,Destinasjoner!$A$5:$A$64,0)),"")</f>
        <v/>
      </c>
      <c r="C385" s="21" t="n">
        <v>9</v>
      </c>
      <c r="D385" s="5">
        <f>IF(C385="","",CHOOSE(C385,"jan","feb","mar","apr","mai","jun","jul","aug","sep","okt","nov","des"))</f>
        <v/>
      </c>
      <c r="E385" s="21" t="n">
        <v>3</v>
      </c>
      <c r="F385" s="21" t="n">
        <v>3</v>
      </c>
      <c r="G385" s="21" t="n">
        <v>4</v>
      </c>
      <c r="H385" s="18">
        <f>IF(COUNT(E385:G385)&lt;3,"",ROUND(IF(OR(E385=1,F385=1),MIN('Les meg'!$C$25,E385*'Les meg'!$C$21+F385*'Les meg'!$C$22+G385*'Les meg'!$C$23),E385*'Les meg'!$C$21+F385*'Les meg'!$C$22+G385*'Les meg'!$C$23),1))</f>
        <v/>
      </c>
      <c r="I385" s="21" t="n">
        <v>29.6</v>
      </c>
      <c r="J385" s="21" t="n">
        <v>43</v>
      </c>
      <c r="K385" s="21" t="inlineStr">
        <is>
          <t>Overskyet, noe regn.</t>
        </is>
      </c>
    </row>
    <row r="386">
      <c r="A386" s="21" t="inlineStr">
        <is>
          <t>GHA</t>
        </is>
      </c>
      <c r="B386" s="5">
        <f>IFERROR(INDEX(Destinasjoner!$E$5:$E$64,MATCH(A386,Destinasjoner!$A$5:$A$64,0)),"")</f>
        <v/>
      </c>
      <c r="C386" s="21" t="n">
        <v>10</v>
      </c>
      <c r="D386" s="5">
        <f>IF(C386="","",CHOOSE(C386,"jan","feb","mar","apr","mai","jun","jul","aug","sep","okt","nov","des"))</f>
        <v/>
      </c>
      <c r="E386" s="21" t="n">
        <v>3</v>
      </c>
      <c r="F386" s="21" t="n">
        <v>3</v>
      </c>
      <c r="G386" s="21" t="n">
        <v>4</v>
      </c>
      <c r="H386" s="18">
        <f>IF(COUNT(E386:G386)&lt;3,"",ROUND(IF(OR(E386=1,F386=1),MIN('Les meg'!$C$25,E386*'Les meg'!$C$21+F386*'Les meg'!$C$22+G386*'Les meg'!$C$23),E386*'Les meg'!$C$21+F386*'Les meg'!$C$22+G386*'Les meg'!$C$23),1))</f>
        <v/>
      </c>
      <c r="I386" s="21" t="n">
        <v>31.1</v>
      </c>
      <c r="J386" s="21" t="n">
        <v>80</v>
      </c>
      <c r="K386" s="21" t="inlineStr">
        <is>
          <t>Liten regntid.</t>
        </is>
      </c>
    </row>
    <row r="387">
      <c r="A387" s="21" t="inlineStr">
        <is>
          <t>GHA</t>
        </is>
      </c>
      <c r="B387" s="5">
        <f>IFERROR(INDEX(Destinasjoner!$E$5:$E$64,MATCH(A387,Destinasjoner!$A$5:$A$64,0)),"")</f>
        <v/>
      </c>
      <c r="C387" s="21" t="n">
        <v>11</v>
      </c>
      <c r="D387" s="5">
        <f>IF(C387="","",CHOOSE(C387,"jan","feb","mar","apr","mai","jun","jul","aug","sep","okt","nov","des"))</f>
        <v/>
      </c>
      <c r="E387" s="21" t="n">
        <v>5</v>
      </c>
      <c r="F387" s="21" t="n">
        <v>4</v>
      </c>
      <c r="G387" s="21" t="n">
        <v>4</v>
      </c>
      <c r="H387" s="18">
        <f>IF(COUNT(E387:G387)&lt;3,"",ROUND(IF(OR(E387=1,F387=1),MIN('Les meg'!$C$25,E387*'Les meg'!$C$21+F387*'Les meg'!$C$22+G387*'Les meg'!$C$23),E387*'Les meg'!$C$21+F387*'Les meg'!$C$22+G387*'Les meg'!$C$23),1))</f>
        <v/>
      </c>
      <c r="I387" s="21" t="n">
        <v>32.1</v>
      </c>
      <c r="J387" s="21" t="n">
        <v>37</v>
      </c>
      <c r="K387" s="21" t="inlineStr">
        <is>
          <t>Beste klima: tørt, grønt og klart før harmattan.</t>
        </is>
      </c>
    </row>
    <row r="388">
      <c r="A388" s="21" t="inlineStr">
        <is>
          <t>GHA</t>
        </is>
      </c>
      <c r="B388" s="5">
        <f>IFERROR(INDEX(Destinasjoner!$E$5:$E$64,MATCH(A388,Destinasjoner!$A$5:$A$64,0)),"")</f>
        <v/>
      </c>
      <c r="C388" s="21" t="n">
        <v>12</v>
      </c>
      <c r="D388" s="5">
        <f>IF(C388="","",CHOOSE(C388,"jan","feb","mar","apr","mai","jun","jul","aug","sep","okt","nov","des"))</f>
        <v/>
      </c>
      <c r="E388" s="21" t="n">
        <v>4</v>
      </c>
      <c r="F388" s="21" t="n">
        <v>5</v>
      </c>
      <c r="G388" s="21" t="n">
        <v>2</v>
      </c>
      <c r="H388" s="18">
        <f>IF(COUNT(E388:G388)&lt;3,"",ROUND(IF(OR(E388=1,F388=1),MIN('Les meg'!$C$25,E388*'Les meg'!$C$21+F388*'Les meg'!$C$22+G388*'Les meg'!$C$23),E388*'Les meg'!$C$21+F388*'Les meg'!$C$22+G388*'Les meg'!$C$23),1))</f>
        <v/>
      </c>
      <c r="I388" s="21" t="n">
        <v>32.4</v>
      </c>
      <c r="J388" s="21" t="n">
        <v>27</v>
      </c>
      <c r="K388" s="21" t="inlineStr">
        <is>
          <t>Tørt, harmattan starter; «Detty December» – fester, men dyrt og fullt.</t>
        </is>
      </c>
    </row>
    <row r="389">
      <c r="A389" s="21" t="inlineStr">
        <is>
          <t>ETH</t>
        </is>
      </c>
      <c r="B389" s="5">
        <f>IFERROR(INDEX(Destinasjoner!$E$5:$E$64,MATCH(A389,Destinasjoner!$A$5:$A$64,0)),"")</f>
        <v/>
      </c>
      <c r="C389" s="21" t="n">
        <v>1</v>
      </c>
      <c r="D389" s="5">
        <f>IF(C389="","",CHOOSE(C389,"jan","feb","mar","apr","mai","jun","jul","aug","sep","okt","nov","des"))</f>
        <v/>
      </c>
      <c r="E389" s="21" t="n">
        <v>5</v>
      </c>
      <c r="F389" s="21" t="n">
        <v>5</v>
      </c>
      <c r="G389" s="21" t="n">
        <v>2</v>
      </c>
      <c r="H389" s="18">
        <f>IF(COUNT(E389:G389)&lt;3,"",ROUND(IF(OR(E389=1,F389=1),MIN('Les meg'!$C$25,E389*'Les meg'!$C$21+F389*'Les meg'!$C$22+G389*'Les meg'!$C$23),E389*'Les meg'!$C$21+F389*'Les meg'!$C$22+G389*'Les meg'!$C$23),1))</f>
        <v/>
      </c>
      <c r="I389" s="21" t="n">
        <v>23.9</v>
      </c>
      <c r="J389" s="21" t="n">
        <v>13</v>
      </c>
      <c r="K389" s="21" t="inlineStr">
        <is>
          <t>Tørt; Genna og Timkat (se Vinduer).</t>
        </is>
      </c>
    </row>
    <row r="390">
      <c r="A390" s="21" t="inlineStr">
        <is>
          <t>ETH</t>
        </is>
      </c>
      <c r="B390" s="5">
        <f>IFERROR(INDEX(Destinasjoner!$E$5:$E$64,MATCH(A390,Destinasjoner!$A$5:$A$64,0)),"")</f>
        <v/>
      </c>
      <c r="C390" s="21" t="n">
        <v>2</v>
      </c>
      <c r="D390" s="5">
        <f>IF(C390="","",CHOOSE(C390,"jan","feb","mar","apr","mai","jun","jul","aug","sep","okt","nov","des"))</f>
        <v/>
      </c>
      <c r="E390" s="21" t="n">
        <v>5</v>
      </c>
      <c r="F390" s="21" t="n">
        <v>4</v>
      </c>
      <c r="G390" s="21" t="n">
        <v>3</v>
      </c>
      <c r="H390" s="18">
        <f>IF(COUNT(E390:G390)&lt;3,"",ROUND(IF(OR(E390=1,F390=1),MIN('Les meg'!$C$25,E390*'Les meg'!$C$21+F390*'Les meg'!$C$22+G390*'Les meg'!$C$23),E390*'Les meg'!$C$21+F390*'Les meg'!$C$22+G390*'Les meg'!$C$23),1))</f>
        <v/>
      </c>
      <c r="I390" s="21" t="n">
        <v>25.3</v>
      </c>
      <c r="J390" s="21" t="n">
        <v>34</v>
      </c>
      <c r="K390" s="21" t="inlineStr">
        <is>
          <t>Tørt.</t>
        </is>
      </c>
    </row>
    <row r="391">
      <c r="A391" s="21" t="inlineStr">
        <is>
          <t>ETH</t>
        </is>
      </c>
      <c r="B391" s="5">
        <f>IFERROR(INDEX(Destinasjoner!$E$5:$E$64,MATCH(A391,Destinasjoner!$A$5:$A$64,0)),"")</f>
        <v/>
      </c>
      <c r="C391" s="21" t="n">
        <v>3</v>
      </c>
      <c r="D391" s="5">
        <f>IF(C391="","",CHOOSE(C391,"jan","feb","mar","apr","mai","jun","jul","aug","sep","okt","nov","des"))</f>
        <v/>
      </c>
      <c r="E391" s="21" t="n">
        <v>4</v>
      </c>
      <c r="F391" s="21" t="n">
        <v>4</v>
      </c>
      <c r="G391" s="21" t="n">
        <v>4</v>
      </c>
      <c r="H391" s="18">
        <f>IF(COUNT(E391:G391)&lt;3,"",ROUND(IF(OR(E391=1,F391=1),MIN('Les meg'!$C$25,E391*'Les meg'!$C$21+F391*'Les meg'!$C$22+G391*'Les meg'!$C$23),E391*'Les meg'!$C$21+F391*'Les meg'!$C$22+G391*'Les meg'!$C$23),1))</f>
        <v/>
      </c>
      <c r="I391" s="21" t="n">
        <v>25.8</v>
      </c>
      <c r="J391" s="21" t="n">
        <v>66</v>
      </c>
      <c r="K391" s="21" t="inlineStr">
        <is>
          <t>Småregn (belg) starter.</t>
        </is>
      </c>
    </row>
    <row r="392">
      <c r="A392" s="21" t="inlineStr">
        <is>
          <t>ETH</t>
        </is>
      </c>
      <c r="B392" s="5">
        <f>IFERROR(INDEX(Destinasjoner!$E$5:$E$64,MATCH(A392,Destinasjoner!$A$5:$A$64,0)),"")</f>
        <v/>
      </c>
      <c r="C392" s="21" t="n">
        <v>4</v>
      </c>
      <c r="D392" s="5">
        <f>IF(C392="","",CHOOSE(C392,"jan","feb","mar","apr","mai","jun","jul","aug","sep","okt","nov","des"))</f>
        <v/>
      </c>
      <c r="E392" s="21" t="n">
        <v>4</v>
      </c>
      <c r="F392" s="21" t="n">
        <v>4</v>
      </c>
      <c r="G392" s="21" t="n">
        <v>4</v>
      </c>
      <c r="H392" s="18">
        <f>IF(COUNT(E392:G392)&lt;3,"",ROUND(IF(OR(E392=1,F392=1),MIN('Les meg'!$C$25,E392*'Les meg'!$C$21+F392*'Les meg'!$C$22+G392*'Les meg'!$C$23),E392*'Les meg'!$C$21+F392*'Les meg'!$C$22+G392*'Les meg'!$C$23),1))</f>
        <v/>
      </c>
      <c r="I392" s="21" t="n">
        <v>25.4</v>
      </c>
      <c r="J392" s="21" t="n">
        <v>91</v>
      </c>
      <c r="K392" s="21" t="inlineStr">
        <is>
          <t>Småregn; Fasika (påske).</t>
        </is>
      </c>
    </row>
    <row r="393">
      <c r="A393" s="21" t="inlineStr">
        <is>
          <t>ETH</t>
        </is>
      </c>
      <c r="B393" s="5">
        <f>IFERROR(INDEX(Destinasjoner!$E$5:$E$64,MATCH(A393,Destinasjoner!$A$5:$A$64,0)),"")</f>
        <v/>
      </c>
      <c r="C393" s="21" t="n">
        <v>5</v>
      </c>
      <c r="D393" s="5">
        <f>IF(C393="","",CHOOSE(C393,"jan","feb","mar","apr","mai","jun","jul","aug","sep","okt","nov","des"))</f>
        <v/>
      </c>
      <c r="E393" s="21" t="n">
        <v>4</v>
      </c>
      <c r="F393" s="21" t="n">
        <v>4</v>
      </c>
      <c r="G393" s="21" t="n">
        <v>4</v>
      </c>
      <c r="H393" s="18">
        <f>IF(COUNT(E393:G393)&lt;3,"",ROUND(IF(OR(E393=1,F393=1),MIN('Les meg'!$C$25,E393*'Les meg'!$C$21+F393*'Les meg'!$C$22+G393*'Les meg'!$C$23),E393*'Les meg'!$C$21+F393*'Les meg'!$C$22+G393*'Les meg'!$C$23),1))</f>
        <v/>
      </c>
      <c r="I393" s="21" t="n">
        <v>25.3</v>
      </c>
      <c r="J393" s="21" t="n">
        <v>76</v>
      </c>
      <c r="K393" s="21" t="inlineStr">
        <is>
          <t>Varmt i lavlandet; småregn.</t>
        </is>
      </c>
    </row>
    <row r="394">
      <c r="A394" s="21" t="inlineStr">
        <is>
          <t>ETH</t>
        </is>
      </c>
      <c r="B394" s="5">
        <f>IFERROR(INDEX(Destinasjoner!$E$5:$E$64,MATCH(A394,Destinasjoner!$A$5:$A$64,0)),"")</f>
        <v/>
      </c>
      <c r="C394" s="21" t="n">
        <v>6</v>
      </c>
      <c r="D394" s="5">
        <f>IF(C394="","",CHOOSE(C394,"jan","feb","mar","apr","mai","jun","jul","aug","sep","okt","nov","des"))</f>
        <v/>
      </c>
      <c r="E394" s="21" t="n">
        <v>3</v>
      </c>
      <c r="F394" s="21" t="n">
        <v>3</v>
      </c>
      <c r="G394" s="21" t="n">
        <v>5</v>
      </c>
      <c r="H394" s="18">
        <f>IF(COUNT(E394:G394)&lt;3,"",ROUND(IF(OR(E394=1,F394=1),MIN('Les meg'!$C$25,E394*'Les meg'!$C$21+F394*'Les meg'!$C$22+G394*'Les meg'!$C$23),E394*'Les meg'!$C$21+F394*'Les meg'!$C$22+G394*'Les meg'!$C$23),1))</f>
        <v/>
      </c>
      <c r="I394" s="21" t="n">
        <v>23.6</v>
      </c>
      <c r="J394" s="21" t="n">
        <v>119</v>
      </c>
      <c r="K394" s="21" t="inlineStr">
        <is>
          <t>Storregntiden (kiremt) starter.</t>
        </is>
      </c>
    </row>
    <row r="395">
      <c r="A395" s="21" t="inlineStr">
        <is>
          <t>ETH</t>
        </is>
      </c>
      <c r="B395" s="5">
        <f>IFERROR(INDEX(Destinasjoner!$E$5:$E$64,MATCH(A395,Destinasjoner!$A$5:$A$64,0)),"")</f>
        <v/>
      </c>
      <c r="C395" s="21" t="n">
        <v>7</v>
      </c>
      <c r="D395" s="5">
        <f>IF(C395="","",CHOOSE(C395,"jan","feb","mar","apr","mai","jun","jul","aug","sep","okt","nov","des"))</f>
        <v/>
      </c>
      <c r="E395" s="21" t="n">
        <v>2</v>
      </c>
      <c r="F395" s="21" t="n">
        <v>2</v>
      </c>
      <c r="G395" s="21" t="n">
        <v>5</v>
      </c>
      <c r="H395" s="18">
        <f>IF(COUNT(E395:G395)&lt;3,"",ROUND(IF(OR(E395=1,F395=1),MIN('Les meg'!$C$25,E395*'Les meg'!$C$21+F395*'Les meg'!$C$22+G395*'Les meg'!$C$23),E395*'Les meg'!$C$21+F395*'Les meg'!$C$22+G395*'Les meg'!$C$23),1))</f>
        <v/>
      </c>
      <c r="I395" s="21" t="n">
        <v>21.2</v>
      </c>
      <c r="J395" s="21" t="n">
        <v>238</v>
      </c>
      <c r="K395" s="21" t="inlineStr">
        <is>
          <t>Storregntid, gjørmete veier.</t>
        </is>
      </c>
    </row>
    <row r="396">
      <c r="A396" s="21" t="inlineStr">
        <is>
          <t>ETH</t>
        </is>
      </c>
      <c r="B396" s="5">
        <f>IFERROR(INDEX(Destinasjoner!$E$5:$E$64,MATCH(A396,Destinasjoner!$A$5:$A$64,0)),"")</f>
        <v/>
      </c>
      <c r="C396" s="21" t="n">
        <v>8</v>
      </c>
      <c r="D396" s="5">
        <f>IF(C396="","",CHOOSE(C396,"jan","feb","mar","apr","mai","jun","jul","aug","sep","okt","nov","des"))</f>
        <v/>
      </c>
      <c r="E396" s="21" t="n">
        <v>2</v>
      </c>
      <c r="F396" s="21" t="n">
        <v>2</v>
      </c>
      <c r="G396" s="21" t="n">
        <v>5</v>
      </c>
      <c r="H396" s="18">
        <f>IF(COUNT(E396:G396)&lt;3,"",ROUND(IF(OR(E396=1,F396=1),MIN('Les meg'!$C$25,E396*'Les meg'!$C$21+F396*'Les meg'!$C$22+G396*'Les meg'!$C$23),E396*'Les meg'!$C$21+F396*'Les meg'!$C$22+G396*'Les meg'!$C$23),1))</f>
        <v/>
      </c>
      <c r="I396" s="21" t="n">
        <v>20.9</v>
      </c>
      <c r="J396" s="21" t="n">
        <v>242</v>
      </c>
      <c r="K396" s="21" t="inlineStr">
        <is>
          <t>Storregntid.</t>
        </is>
      </c>
    </row>
    <row r="397">
      <c r="A397" s="21" t="inlineStr">
        <is>
          <t>ETH</t>
        </is>
      </c>
      <c r="B397" s="5">
        <f>IFERROR(INDEX(Destinasjoner!$E$5:$E$64,MATCH(A397,Destinasjoner!$A$5:$A$64,0)),"")</f>
        <v/>
      </c>
      <c r="C397" s="21" t="n">
        <v>9</v>
      </c>
      <c r="D397" s="5">
        <f>IF(C397="","",CHOOSE(C397,"jan","feb","mar","apr","mai","jun","jul","aug","sep","okt","nov","des"))</f>
        <v/>
      </c>
      <c r="E397" s="21" t="n">
        <v>3</v>
      </c>
      <c r="F397" s="21" t="n">
        <v>4</v>
      </c>
      <c r="G397" s="21" t="n">
        <v>4</v>
      </c>
      <c r="H397" s="18">
        <f>IF(COUNT(E397:G397)&lt;3,"",ROUND(IF(OR(E397=1,F397=1),MIN('Les meg'!$C$25,E397*'Les meg'!$C$21+F397*'Les meg'!$C$22+G397*'Les meg'!$C$23),E397*'Les meg'!$C$21+F397*'Les meg'!$C$22+G397*'Les meg'!$C$23),1))</f>
        <v/>
      </c>
      <c r="I397" s="21" t="n">
        <v>21.9</v>
      </c>
      <c r="J397" s="21" t="n">
        <v>132</v>
      </c>
      <c r="K397" s="21" t="inlineStr">
        <is>
          <t>Regnet avtar, grønt; Meskel (se Vinduer).</t>
        </is>
      </c>
    </row>
    <row r="398">
      <c r="A398" s="21" t="inlineStr">
        <is>
          <t>ETH</t>
        </is>
      </c>
      <c r="B398" s="5">
        <f>IFERROR(INDEX(Destinasjoner!$E$5:$E$64,MATCH(A398,Destinasjoner!$A$5:$A$64,0)),"")</f>
        <v/>
      </c>
      <c r="C398" s="21" t="n">
        <v>10</v>
      </c>
      <c r="D398" s="5">
        <f>IF(C398="","",CHOOSE(C398,"jan","feb","mar","apr","mai","jun","jul","aug","sep","okt","nov","des"))</f>
        <v/>
      </c>
      <c r="E398" s="21" t="n">
        <v>5</v>
      </c>
      <c r="F398" s="21" t="n">
        <v>5</v>
      </c>
      <c r="G398" s="21" t="n">
        <v>3</v>
      </c>
      <c r="H398" s="18">
        <f>IF(COUNT(E398:G398)&lt;3,"",ROUND(IF(OR(E398=1,F398=1),MIN('Les meg'!$C$25,E398*'Les meg'!$C$21+F398*'Les meg'!$C$22+G398*'Les meg'!$C$23),E398*'Les meg'!$C$21+F398*'Les meg'!$C$22+G398*'Les meg'!$C$23),1))</f>
        <v/>
      </c>
      <c r="I398" s="21" t="n">
        <v>23.3</v>
      </c>
      <c r="J398" s="21" t="n">
        <v>32</v>
      </c>
      <c r="K398" s="21" t="inlineStr">
        <is>
          <t>Tørt, grønt og blomstrende. Ofte beste måned.</t>
        </is>
      </c>
    </row>
    <row r="399">
      <c r="A399" s="21" t="inlineStr">
        <is>
          <t>ETH</t>
        </is>
      </c>
      <c r="B399" s="5">
        <f>IFERROR(INDEX(Destinasjoner!$E$5:$E$64,MATCH(A399,Destinasjoner!$A$5:$A$64,0)),"")</f>
        <v/>
      </c>
      <c r="C399" s="21" t="n">
        <v>11</v>
      </c>
      <c r="D399" s="5">
        <f>IF(C399="","",CHOOSE(C399,"jan","feb","mar","apr","mai","jun","jul","aug","sep","okt","nov","des"))</f>
        <v/>
      </c>
      <c r="E399" s="21" t="n">
        <v>5</v>
      </c>
      <c r="F399" s="21" t="n">
        <v>5</v>
      </c>
      <c r="G399" s="21" t="n">
        <v>3</v>
      </c>
      <c r="H399" s="18">
        <f>IF(COUNT(E399:G399)&lt;3,"",ROUND(IF(OR(E399=1,F399=1),MIN('Les meg'!$C$25,E399*'Les meg'!$C$21+F399*'Les meg'!$C$22+G399*'Les meg'!$C$23),E399*'Les meg'!$C$21+F399*'Les meg'!$C$22+G399*'Les meg'!$C$23),1))</f>
        <v/>
      </c>
      <c r="I399" s="21" t="n">
        <v>23.3</v>
      </c>
      <c r="J399" s="21" t="n">
        <v>5</v>
      </c>
      <c r="K399" s="21" t="inlineStr">
        <is>
          <t>Tørt og klart.</t>
        </is>
      </c>
    </row>
    <row r="400">
      <c r="A400" s="21" t="inlineStr">
        <is>
          <t>ETH</t>
        </is>
      </c>
      <c r="B400" s="5">
        <f>IFERROR(INDEX(Destinasjoner!$E$5:$E$64,MATCH(A400,Destinasjoner!$A$5:$A$64,0)),"")</f>
        <v/>
      </c>
      <c r="C400" s="21" t="n">
        <v>12</v>
      </c>
      <c r="D400" s="5">
        <f>IF(C400="","",CHOOSE(C400,"jan","feb","mar","apr","mai","jun","jul","aug","sep","okt","nov","des"))</f>
        <v/>
      </c>
      <c r="E400" s="21" t="n">
        <v>5</v>
      </c>
      <c r="F400" s="21" t="n">
        <v>5</v>
      </c>
      <c r="G400" s="21" t="n">
        <v>3</v>
      </c>
      <c r="H400" s="18">
        <f>IF(COUNT(E400:G400)&lt;3,"",ROUND(IF(OR(E400=1,F400=1),MIN('Les meg'!$C$25,E400*'Les meg'!$C$21+F400*'Les meg'!$C$22+G400*'Les meg'!$C$23),E400*'Les meg'!$C$21+F400*'Les meg'!$C$22+G400*'Les meg'!$C$23),1))</f>
        <v/>
      </c>
      <c r="I400" s="21" t="n">
        <v>23.1</v>
      </c>
      <c r="J400" s="21" t="n">
        <v>8</v>
      </c>
      <c r="K400" s="21" t="inlineStr">
        <is>
          <t>Tørt.</t>
        </is>
      </c>
    </row>
    <row r="401">
      <c r="A401" s="21" t="inlineStr">
        <is>
          <t>BWA</t>
        </is>
      </c>
      <c r="B401" s="5">
        <f>IFERROR(INDEX(Destinasjoner!$E$5:$E$64,MATCH(A401,Destinasjoner!$A$5:$A$64,0)),"")</f>
        <v/>
      </c>
      <c r="C401" s="21" t="n">
        <v>1</v>
      </c>
      <c r="D401" s="5">
        <f>IF(C401="","",CHOOSE(C401,"jan","feb","mar","apr","mai","jun","jul","aug","sep","okt","nov","des"))</f>
        <v/>
      </c>
      <c r="E401" s="21" t="n">
        <v>2</v>
      </c>
      <c r="F401" s="21" t="n">
        <v>3</v>
      </c>
      <c r="G401" s="21" t="n">
        <v>5</v>
      </c>
      <c r="H401" s="18">
        <f>IF(COUNT(E401:G401)&lt;3,"",ROUND(IF(OR(E401=1,F401=1),MIN('Les meg'!$C$25,E401*'Les meg'!$C$21+F401*'Les meg'!$C$22+G401*'Les meg'!$C$23),E401*'Les meg'!$C$21+F401*'Les meg'!$C$22+G401*'Les meg'!$C$23),1))</f>
        <v/>
      </c>
      <c r="I401" s="21" t="n">
        <v>31.5</v>
      </c>
      <c r="J401" s="21" t="n">
        <v>104</v>
      </c>
      <c r="K401" s="21" t="inlineStr">
        <is>
          <t>Regntid, varmt og fuktig. Grønt og fugleliv, vilt spredt. Grønn-sesong-priser.</t>
        </is>
      </c>
    </row>
    <row r="402">
      <c r="A402" s="21" t="inlineStr">
        <is>
          <t>BWA</t>
        </is>
      </c>
      <c r="B402" s="5">
        <f>IFERROR(INDEX(Destinasjoner!$E$5:$E$64,MATCH(A402,Destinasjoner!$A$5:$A$64,0)),"")</f>
        <v/>
      </c>
      <c r="C402" s="21" t="n">
        <v>2</v>
      </c>
      <c r="D402" s="5">
        <f>IF(C402="","",CHOOSE(C402,"jan","feb","mar","apr","mai","jun","jul","aug","sep","okt","nov","des"))</f>
        <v/>
      </c>
      <c r="E402" s="21" t="n">
        <v>2</v>
      </c>
      <c r="F402" s="21" t="n">
        <v>3</v>
      </c>
      <c r="G402" s="21" t="n">
        <v>5</v>
      </c>
      <c r="H402" s="18">
        <f>IF(COUNT(E402:G402)&lt;3,"",ROUND(IF(OR(E402=1,F402=1),MIN('Les meg'!$C$25,E402*'Les meg'!$C$21+F402*'Les meg'!$C$22+G402*'Les meg'!$C$23),E402*'Les meg'!$C$21+F402*'Les meg'!$C$22+G402*'Les meg'!$C$23),1))</f>
        <v/>
      </c>
      <c r="I402" s="21" t="n">
        <v>31.3</v>
      </c>
      <c r="J402" s="21" t="n">
        <v>95</v>
      </c>
      <c r="K402" s="21" t="inlineStr">
        <is>
          <t>Regntid. Mange leire har rabatter.</t>
        </is>
      </c>
    </row>
    <row r="403">
      <c r="A403" s="21" t="inlineStr">
        <is>
          <t>BWA</t>
        </is>
      </c>
      <c r="B403" s="5">
        <f>IFERROR(INDEX(Destinasjoner!$E$5:$E$64,MATCH(A403,Destinasjoner!$A$5:$A$64,0)),"")</f>
        <v/>
      </c>
      <c r="C403" s="21" t="n">
        <v>3</v>
      </c>
      <c r="D403" s="5">
        <f>IF(C403="","",CHOOSE(C403,"jan","feb","mar","apr","mai","jun","jul","aug","sep","okt","nov","des"))</f>
        <v/>
      </c>
      <c r="E403" s="21" t="n">
        <v>3</v>
      </c>
      <c r="F403" s="21" t="n">
        <v>3</v>
      </c>
      <c r="G403" s="21" t="n">
        <v>5</v>
      </c>
      <c r="H403" s="18">
        <f>IF(COUNT(E403:G403)&lt;3,"",ROUND(IF(OR(E403=1,F403=1),MIN('Les meg'!$C$25,E403*'Les meg'!$C$21+F403*'Les meg'!$C$22+G403*'Les meg'!$C$23),E403*'Les meg'!$C$21+F403*'Les meg'!$C$22+G403*'Les meg'!$C$23),1))</f>
        <v/>
      </c>
      <c r="I403" s="21" t="n">
        <v>31</v>
      </c>
      <c r="J403" s="21" t="n">
        <v>81</v>
      </c>
      <c r="K403" s="21" t="inlineStr">
        <is>
          <t>Regnet avtar, vilt fortsatt spredt.</t>
        </is>
      </c>
    </row>
    <row r="404">
      <c r="A404" s="21" t="inlineStr">
        <is>
          <t>BWA</t>
        </is>
      </c>
      <c r="B404" s="5">
        <f>IFERROR(INDEX(Destinasjoner!$E$5:$E$64,MATCH(A404,Destinasjoner!$A$5:$A$64,0)),"")</f>
        <v/>
      </c>
      <c r="C404" s="21" t="n">
        <v>4</v>
      </c>
      <c r="D404" s="5">
        <f>IF(C404="","",CHOOSE(C404,"jan","feb","mar","apr","mai","jun","jul","aug","sep","okt","nov","des"))</f>
        <v/>
      </c>
      <c r="E404" s="21" t="n">
        <v>4</v>
      </c>
      <c r="F404" s="21" t="n">
        <v>3</v>
      </c>
      <c r="G404" s="21" t="n">
        <v>4</v>
      </c>
      <c r="H404" s="18">
        <f>IF(COUNT(E404:G404)&lt;3,"",ROUND(IF(OR(E404=1,F404=1),MIN('Les meg'!$C$25,E404*'Les meg'!$C$21+F404*'Les meg'!$C$22+G404*'Les meg'!$C$23),E404*'Les meg'!$C$21+F404*'Les meg'!$C$22+G404*'Les meg'!$C$23),1))</f>
        <v/>
      </c>
      <c r="I404" s="21" t="n">
        <v>30.5</v>
      </c>
      <c r="J404" s="21" t="n">
        <v>25</v>
      </c>
      <c r="K404" s="21" t="inlineStr">
        <is>
          <t>Tørrere og behagelig. Overgang.</t>
        </is>
      </c>
    </row>
    <row r="405">
      <c r="A405" s="21" t="inlineStr">
        <is>
          <t>BWA</t>
        </is>
      </c>
      <c r="B405" s="5">
        <f>IFERROR(INDEX(Destinasjoner!$E$5:$E$64,MATCH(A405,Destinasjoner!$A$5:$A$64,0)),"")</f>
        <v/>
      </c>
      <c r="C405" s="21" t="n">
        <v>5</v>
      </c>
      <c r="D405" s="5">
        <f>IF(C405="","",CHOOSE(C405,"jan","feb","mar","apr","mai","jun","jul","aug","sep","okt","nov","des"))</f>
        <v/>
      </c>
      <c r="E405" s="21" t="n">
        <v>5</v>
      </c>
      <c r="F405" s="21" t="n">
        <v>4</v>
      </c>
      <c r="G405" s="21" t="n">
        <v>4</v>
      </c>
      <c r="H405" s="18">
        <f>IF(COUNT(E405:G405)&lt;3,"",ROUND(IF(OR(E405=1,F405=1),MIN('Les meg'!$C$25,E405*'Les meg'!$C$21+F405*'Les meg'!$C$22+G405*'Les meg'!$C$23),E405*'Les meg'!$C$21+F405*'Les meg'!$C$22+G405*'Les meg'!$C$23),1))</f>
        <v/>
      </c>
      <c r="I405" s="21" t="n">
        <v>27.9</v>
      </c>
      <c r="J405" s="21" t="n">
        <v>5</v>
      </c>
      <c r="K405" s="21" t="inlineStr">
        <is>
          <t>Tørketiden starter, kjølige netter. Flomvannet når deltaet.</t>
        </is>
      </c>
    </row>
    <row r="406">
      <c r="A406" s="21" t="inlineStr">
        <is>
          <t>BWA</t>
        </is>
      </c>
      <c r="B406" s="5">
        <f>IFERROR(INDEX(Destinasjoner!$E$5:$E$64,MATCH(A406,Destinasjoner!$A$5:$A$64,0)),"")</f>
        <v/>
      </c>
      <c r="C406" s="21" t="n">
        <v>6</v>
      </c>
      <c r="D406" s="5">
        <f>IF(C406="","",CHOOSE(C406,"jan","feb","mar","apr","mai","jun","jul","aug","sep","okt","nov","des"))</f>
        <v/>
      </c>
      <c r="E406" s="21" t="n">
        <v>4</v>
      </c>
      <c r="F406" s="21" t="n">
        <v>5</v>
      </c>
      <c r="G406" s="21" t="n">
        <v>3</v>
      </c>
      <c r="H406" s="18">
        <f>IF(COUNT(E406:G406)&lt;3,"",ROUND(IF(OR(E406=1,F406=1),MIN('Les meg'!$C$25,E406*'Les meg'!$C$21+F406*'Les meg'!$C$22+G406*'Les meg'!$C$23),E406*'Les meg'!$C$21+F406*'Les meg'!$C$22+G406*'Les meg'!$C$23),1))</f>
        <v/>
      </c>
      <c r="I406" s="21" t="n">
        <v>25.2</v>
      </c>
      <c r="J406" s="21" t="n">
        <v>1</v>
      </c>
      <c r="K406" s="21" t="inlineStr">
        <is>
          <t>Flomtopp i Okavango. Kalde netter og morgener. Høysesongen starter.</t>
        </is>
      </c>
    </row>
    <row r="407">
      <c r="A407" s="21" t="inlineStr">
        <is>
          <t>BWA</t>
        </is>
      </c>
      <c r="B407" s="5">
        <f>IFERROR(INDEX(Destinasjoner!$E$5:$E$64,MATCH(A407,Destinasjoner!$A$5:$A$64,0)),"")</f>
        <v/>
      </c>
      <c r="C407" s="21" t="n">
        <v>7</v>
      </c>
      <c r="D407" s="5">
        <f>IF(C407="","",CHOOSE(C407,"jan","feb","mar","apr","mai","jun","jul","aug","sep","okt","nov","des"))</f>
        <v/>
      </c>
      <c r="E407" s="21" t="n">
        <v>4</v>
      </c>
      <c r="F407" s="21" t="n">
        <v>5</v>
      </c>
      <c r="G407" s="21" t="n">
        <v>2</v>
      </c>
      <c r="H407" s="18">
        <f>IF(COUNT(E407:G407)&lt;3,"",ROUND(IF(OR(E407=1,F407=1),MIN('Les meg'!$C$25,E407*'Les meg'!$C$21+F407*'Les meg'!$C$22+G407*'Les meg'!$C$23),E407*'Les meg'!$C$21+F407*'Les meg'!$C$22+G407*'Les meg'!$C$23),1))</f>
        <v/>
      </c>
      <c r="I407" s="21" t="n">
        <v>25.4</v>
      </c>
      <c r="J407" s="21" t="n">
        <v>1</v>
      </c>
      <c r="K407" s="21" t="inlineStr">
        <is>
          <t>Toppsesong: flom og konsentrert vilt. Høyeste priser, book 9–12 mnd frem.</t>
        </is>
      </c>
    </row>
    <row r="408">
      <c r="A408" s="21" t="inlineStr">
        <is>
          <t>BWA</t>
        </is>
      </c>
      <c r="B408" s="5">
        <f>IFERROR(INDEX(Destinasjoner!$E$5:$E$64,MATCH(A408,Destinasjoner!$A$5:$A$64,0)),"")</f>
        <v/>
      </c>
      <c r="C408" s="21" t="n">
        <v>8</v>
      </c>
      <c r="D408" s="5">
        <f>IF(C408="","",CHOOSE(C408,"jan","feb","mar","apr","mai","jun","jul","aug","sep","okt","nov","des"))</f>
        <v/>
      </c>
      <c r="E408" s="21" t="n">
        <v>5</v>
      </c>
      <c r="F408" s="21" t="n">
        <v>5</v>
      </c>
      <c r="G408" s="21" t="n">
        <v>2</v>
      </c>
      <c r="H408" s="18">
        <f>IF(COUNT(E408:G408)&lt;3,"",ROUND(IF(OR(E408=1,F408=1),MIN('Les meg'!$C$25,E408*'Les meg'!$C$21+F408*'Les meg'!$C$22+G408*'Les meg'!$C$23),E408*'Les meg'!$C$21+F408*'Les meg'!$C$22+G408*'Les meg'!$C$23),1))</f>
        <v/>
      </c>
      <c r="I408" s="21" t="n">
        <v>28.5</v>
      </c>
      <c r="J408" s="21" t="n">
        <v>0</v>
      </c>
      <c r="K408" s="21" t="inlineStr">
        <is>
          <t>Toppsesong. Varmere dager, fortsatt vann i deltaet.</t>
        </is>
      </c>
    </row>
    <row r="409">
      <c r="A409" s="21" t="inlineStr">
        <is>
          <t>BWA</t>
        </is>
      </c>
      <c r="B409" s="5">
        <f>IFERROR(INDEX(Destinasjoner!$E$5:$E$64,MATCH(A409,Destinasjoner!$A$5:$A$64,0)),"")</f>
        <v/>
      </c>
      <c r="C409" s="21" t="n">
        <v>9</v>
      </c>
      <c r="D409" s="5">
        <f>IF(C409="","",CHOOSE(C409,"jan","feb","mar","apr","mai","jun","jul","aug","sep","okt","nov","des"))</f>
        <v/>
      </c>
      <c r="E409" s="21" t="n">
        <v>4</v>
      </c>
      <c r="F409" s="21" t="n">
        <v>5</v>
      </c>
      <c r="G409" s="21" t="n">
        <v>3</v>
      </c>
      <c r="H409" s="18">
        <f>IF(COUNT(E409:G409)&lt;3,"",ROUND(IF(OR(E409=1,F409=1),MIN('Les meg'!$C$25,E409*'Les meg'!$C$21+F409*'Les meg'!$C$22+G409*'Les meg'!$C$23),E409*'Les meg'!$C$21+F409*'Les meg'!$C$22+G409*'Les meg'!$C$23),1))</f>
        <v/>
      </c>
      <c r="I409" s="21" t="n">
        <v>32.3</v>
      </c>
      <c r="J409" s="21" t="n">
        <v>1</v>
      </c>
      <c r="K409" s="21" t="inlineStr">
        <is>
          <t>Svært godt vilt ved vannhull. Varmere.</t>
        </is>
      </c>
    </row>
    <row r="410">
      <c r="A410" s="21" t="inlineStr">
        <is>
          <t>BWA</t>
        </is>
      </c>
      <c r="B410" s="5">
        <f>IFERROR(INDEX(Destinasjoner!$E$5:$E$64,MATCH(A410,Destinasjoner!$A$5:$A$64,0)),"")</f>
        <v/>
      </c>
      <c r="C410" s="21" t="n">
        <v>10</v>
      </c>
      <c r="D410" s="5">
        <f>IF(C410="","",CHOOSE(C410,"jan","feb","mar","apr","mai","jun","jul","aug","sep","okt","nov","des"))</f>
        <v/>
      </c>
      <c r="E410" s="21" t="n">
        <v>2</v>
      </c>
      <c r="F410" s="21" t="n">
        <v>4</v>
      </c>
      <c r="G410" s="21" t="n">
        <v>4</v>
      </c>
      <c r="H410" s="18">
        <f>IF(COUNT(E410:G410)&lt;3,"",ROUND(IF(OR(E410=1,F410=1),MIN('Les meg'!$C$25,E410*'Les meg'!$C$21+F410*'Les meg'!$C$22+G410*'Les meg'!$C$23),E410*'Les meg'!$C$21+F410*'Les meg'!$C$22+G410*'Les meg'!$C$23),1))</f>
        <v/>
      </c>
      <c r="I410" s="21" t="n">
        <v>34.6</v>
      </c>
      <c r="J410" s="21" t="n">
        <v>17</v>
      </c>
      <c r="K410" s="21" t="inlineStr">
        <is>
          <t>Hetest (ofte 38–40 °C), støvete. Godt vilt, men krevende.</t>
        </is>
      </c>
    </row>
    <row r="411">
      <c r="A411" s="21" t="inlineStr">
        <is>
          <t>BWA</t>
        </is>
      </c>
      <c r="B411" s="5">
        <f>IFERROR(INDEX(Destinasjoner!$E$5:$E$64,MATCH(A411,Destinasjoner!$A$5:$A$64,0)),"")</f>
        <v/>
      </c>
      <c r="C411" s="21" t="n">
        <v>11</v>
      </c>
      <c r="D411" s="5">
        <f>IF(C411="","",CHOOSE(C411,"jan","feb","mar","apr","mai","jun","jul","aug","sep","okt","nov","des"))</f>
        <v/>
      </c>
      <c r="E411" s="21" t="n">
        <v>3</v>
      </c>
      <c r="F411" s="21" t="n">
        <v>3</v>
      </c>
      <c r="G411" s="21" t="n">
        <v>4</v>
      </c>
      <c r="H411" s="18">
        <f>IF(COUNT(E411:G411)&lt;3,"",ROUND(IF(OR(E411=1,F411=1),MIN('Les meg'!$C$25,E411*'Les meg'!$C$21+F411*'Les meg'!$C$22+G411*'Les meg'!$C$23),E411*'Les meg'!$C$21+F411*'Les meg'!$C$22+G411*'Les meg'!$C$23),1))</f>
        <v/>
      </c>
      <c r="I411" s="21" t="n">
        <v>33.6</v>
      </c>
      <c r="J411" s="21" t="n">
        <v>43</v>
      </c>
      <c r="K411" s="21" t="inlineStr">
        <is>
          <t>Regnet starter. Kalvingssesong.</t>
        </is>
      </c>
    </row>
    <row r="412">
      <c r="A412" s="21" t="inlineStr">
        <is>
          <t>BWA</t>
        </is>
      </c>
      <c r="B412" s="5">
        <f>IFERROR(INDEX(Destinasjoner!$E$5:$E$64,MATCH(A412,Destinasjoner!$A$5:$A$64,0)),"")</f>
        <v/>
      </c>
      <c r="C412" s="21" t="n">
        <v>12</v>
      </c>
      <c r="D412" s="5">
        <f>IF(C412="","",CHOOSE(C412,"jan","feb","mar","apr","mai","jun","jul","aug","sep","okt","nov","des"))</f>
        <v/>
      </c>
      <c r="E412" s="21" t="n">
        <v>2</v>
      </c>
      <c r="F412" s="21" t="n">
        <v>3</v>
      </c>
      <c r="G412" s="21" t="n">
        <v>5</v>
      </c>
      <c r="H412" s="18">
        <f>IF(COUNT(E412:G412)&lt;3,"",ROUND(IF(OR(E412=1,F412=1),MIN('Les meg'!$C$25,E412*'Les meg'!$C$21+F412*'Les meg'!$C$22+G412*'Les meg'!$C$23),E412*'Les meg'!$C$21+F412*'Les meg'!$C$22+G412*'Les meg'!$C$23),1))</f>
        <v/>
      </c>
      <c r="I412" s="21" t="n">
        <v>32.2</v>
      </c>
      <c r="J412" s="21" t="n">
        <v>81</v>
      </c>
      <c r="K412" s="21" t="inlineStr">
        <is>
          <t>Regntid, grønn sesong.</t>
        </is>
      </c>
    </row>
    <row r="413">
      <c r="A413" s="21" t="inlineStr">
        <is>
          <t>ZMB</t>
        </is>
      </c>
      <c r="B413" s="5">
        <f>IFERROR(INDEX(Destinasjoner!$E$5:$E$64,MATCH(A413,Destinasjoner!$A$5:$A$64,0)),"")</f>
        <v/>
      </c>
      <c r="C413" s="21" t="n">
        <v>1</v>
      </c>
      <c r="D413" s="5">
        <f>IF(C413="","",CHOOSE(C413,"jan","feb","mar","apr","mai","jun","jul","aug","sep","okt","nov","des"))</f>
        <v/>
      </c>
      <c r="E413" s="21" t="n">
        <v>2</v>
      </c>
      <c r="F413" s="21" t="n">
        <v>3</v>
      </c>
      <c r="G413" s="21" t="n">
        <v>5</v>
      </c>
      <c r="H413" s="18">
        <f>IF(COUNT(E413:G413)&lt;3,"",ROUND(IF(OR(E413=1,F413=1),MIN('Les meg'!$C$25,E413*'Les meg'!$C$21+F413*'Les meg'!$C$22+G413*'Les meg'!$C$23),E413*'Les meg'!$C$21+F413*'Les meg'!$C$22+G413*'Les meg'!$C$23),1))</f>
        <v/>
      </c>
      <c r="I413" s="21" t="n">
        <v>30.9</v>
      </c>
      <c r="J413" s="21" t="n">
        <v>175</v>
      </c>
      <c r="K413" s="21" t="inlineStr">
        <is>
          <t>Regntid; mange leire i South Luangwa stengt.</t>
        </is>
      </c>
    </row>
    <row r="414">
      <c r="A414" s="21" t="inlineStr">
        <is>
          <t>ZMB</t>
        </is>
      </c>
      <c r="B414" s="5">
        <f>IFERROR(INDEX(Destinasjoner!$E$5:$E$64,MATCH(A414,Destinasjoner!$A$5:$A$64,0)),"")</f>
        <v/>
      </c>
      <c r="C414" s="21" t="n">
        <v>2</v>
      </c>
      <c r="D414" s="5">
        <f>IF(C414="","",CHOOSE(C414,"jan","feb","mar","apr","mai","jun","jul","aug","sep","okt","nov","des"))</f>
        <v/>
      </c>
      <c r="E414" s="21" t="n">
        <v>2</v>
      </c>
      <c r="F414" s="21" t="n">
        <v>3</v>
      </c>
      <c r="G414" s="21" t="n">
        <v>5</v>
      </c>
      <c r="H414" s="18">
        <f>IF(COUNT(E414:G414)&lt;3,"",ROUND(IF(OR(E414=1,F414=1),MIN('Les meg'!$C$25,E414*'Les meg'!$C$21+F414*'Les meg'!$C$22+G414*'Les meg'!$C$23),E414*'Les meg'!$C$21+F414*'Les meg'!$C$22+G414*'Les meg'!$C$23),1))</f>
        <v/>
      </c>
      <c r="I414" s="21" t="n">
        <v>30.7</v>
      </c>
      <c r="J414" s="21" t="n">
        <v>133</v>
      </c>
      <c r="K414" s="21" t="inlineStr">
        <is>
          <t>Regntid; Victoriafallene stiger.</t>
        </is>
      </c>
    </row>
    <row r="415">
      <c r="A415" s="21" t="inlineStr">
        <is>
          <t>ZMB</t>
        </is>
      </c>
      <c r="B415" s="5">
        <f>IFERROR(INDEX(Destinasjoner!$E$5:$E$64,MATCH(A415,Destinasjoner!$A$5:$A$64,0)),"")</f>
        <v/>
      </c>
      <c r="C415" s="21" t="n">
        <v>3</v>
      </c>
      <c r="D415" s="5">
        <f>IF(C415="","",CHOOSE(C415,"jan","feb","mar","apr","mai","jun","jul","aug","sep","okt","nov","des"))</f>
        <v/>
      </c>
      <c r="E415" s="21" t="n">
        <v>3</v>
      </c>
      <c r="F415" s="21" t="n">
        <v>3</v>
      </c>
      <c r="G415" s="21" t="n">
        <v>5</v>
      </c>
      <c r="H415" s="18">
        <f>IF(COUNT(E415:G415)&lt;3,"",ROUND(IF(OR(E415=1,F415=1),MIN('Les meg'!$C$25,E415*'Les meg'!$C$21+F415*'Les meg'!$C$22+G415*'Les meg'!$C$23),E415*'Les meg'!$C$21+F415*'Les meg'!$C$22+G415*'Les meg'!$C$23),1))</f>
        <v/>
      </c>
      <c r="I415" s="21" t="n">
        <v>31.1</v>
      </c>
      <c r="J415" s="21" t="n">
        <v>83</v>
      </c>
      <c r="K415" s="21" t="inlineStr">
        <is>
          <t>Regnet avtar; fallene nær toppen.</t>
        </is>
      </c>
    </row>
    <row r="416">
      <c r="A416" s="21" t="inlineStr">
        <is>
          <t>ZMB</t>
        </is>
      </c>
      <c r="B416" s="5">
        <f>IFERROR(INDEX(Destinasjoner!$E$5:$E$64,MATCH(A416,Destinasjoner!$A$5:$A$64,0)),"")</f>
        <v/>
      </c>
      <c r="C416" s="21" t="n">
        <v>4</v>
      </c>
      <c r="D416" s="5">
        <f>IF(C416="","",CHOOSE(C416,"jan","feb","mar","apr","mai","jun","jul","aug","sep","okt","nov","des"))</f>
        <v/>
      </c>
      <c r="E416" s="21" t="n">
        <v>4</v>
      </c>
      <c r="F416" s="21" t="n">
        <v>4</v>
      </c>
      <c r="G416" s="21" t="n">
        <v>4</v>
      </c>
      <c r="H416" s="18">
        <f>IF(COUNT(E416:G416)&lt;3,"",ROUND(IF(OR(E416=1,F416=1),MIN('Les meg'!$C$25,E416*'Les meg'!$C$21+F416*'Les meg'!$C$22+G416*'Les meg'!$C$23),E416*'Les meg'!$C$21+F416*'Les meg'!$C$22+G416*'Les meg'!$C$23),1))</f>
        <v/>
      </c>
      <c r="I416" s="21" t="n">
        <v>30.6</v>
      </c>
      <c r="J416" s="21" t="n">
        <v>20</v>
      </c>
      <c r="K416" s="21" t="inlineStr">
        <is>
          <t>Tørrere; fallene på topp (mye spray).</t>
        </is>
      </c>
    </row>
    <row r="417">
      <c r="A417" s="21" t="inlineStr">
        <is>
          <t>ZMB</t>
        </is>
      </c>
      <c r="B417" s="5">
        <f>IFERROR(INDEX(Destinasjoner!$E$5:$E$64,MATCH(A417,Destinasjoner!$A$5:$A$64,0)),"")</f>
        <v/>
      </c>
      <c r="C417" s="21" t="n">
        <v>5</v>
      </c>
      <c r="D417" s="5">
        <f>IF(C417="","",CHOOSE(C417,"jan","feb","mar","apr","mai","jun","jul","aug","sep","okt","nov","des"))</f>
        <v/>
      </c>
      <c r="E417" s="21" t="n">
        <v>4</v>
      </c>
      <c r="F417" s="21" t="n">
        <v>4</v>
      </c>
      <c r="G417" s="21" t="n">
        <v>4</v>
      </c>
      <c r="H417" s="18">
        <f>IF(COUNT(E417:G417)&lt;3,"",ROUND(IF(OR(E417=1,F417=1),MIN('Les meg'!$C$25,E417*'Les meg'!$C$21+F417*'Les meg'!$C$22+G417*'Les meg'!$C$23),E417*'Les meg'!$C$21+F417*'Les meg'!$C$22+G417*'Les meg'!$C$23),1))</f>
        <v/>
      </c>
      <c r="I417" s="21" t="n">
        <v>29</v>
      </c>
      <c r="J417" s="21" t="n">
        <v>2</v>
      </c>
      <c r="K417" s="21" t="inlineStr">
        <is>
          <t>Tørrsesongen starter; grønt.</t>
        </is>
      </c>
    </row>
    <row r="418">
      <c r="A418" s="21" t="inlineStr">
        <is>
          <t>ZMB</t>
        </is>
      </c>
      <c r="B418" s="5">
        <f>IFERROR(INDEX(Destinasjoner!$E$5:$E$64,MATCH(A418,Destinasjoner!$A$5:$A$64,0)),"")</f>
        <v/>
      </c>
      <c r="C418" s="21" t="n">
        <v>6</v>
      </c>
      <c r="D418" s="5">
        <f>IF(C418="","",CHOOSE(C418,"jan","feb","mar","apr","mai","jun","jul","aug","sep","okt","nov","des"))</f>
        <v/>
      </c>
      <c r="E418" s="21" t="n">
        <v>5</v>
      </c>
      <c r="F418" s="21" t="n">
        <v>5</v>
      </c>
      <c r="G418" s="21" t="n">
        <v>3</v>
      </c>
      <c r="H418" s="18">
        <f>IF(COUNT(E418:G418)&lt;3,"",ROUND(IF(OR(E418=1,F418=1),MIN('Les meg'!$C$25,E418*'Les meg'!$C$21+F418*'Les meg'!$C$22+G418*'Les meg'!$C$23),E418*'Les meg'!$C$21+F418*'Les meg'!$C$22+G418*'Les meg'!$C$23),1))</f>
        <v/>
      </c>
      <c r="I418" s="21" t="n">
        <v>26.5</v>
      </c>
      <c r="J418" s="21" t="n">
        <v>0</v>
      </c>
      <c r="K418" s="21" t="inlineStr">
        <is>
          <t>Tørt og behagelig; gåsafari starter.</t>
        </is>
      </c>
    </row>
    <row r="419">
      <c r="A419" s="21" t="inlineStr">
        <is>
          <t>ZMB</t>
        </is>
      </c>
      <c r="B419" s="5">
        <f>IFERROR(INDEX(Destinasjoner!$E$5:$E$64,MATCH(A419,Destinasjoner!$A$5:$A$64,0)),"")</f>
        <v/>
      </c>
      <c r="C419" s="21" t="n">
        <v>7</v>
      </c>
      <c r="D419" s="5">
        <f>IF(C419="","",CHOOSE(C419,"jan","feb","mar","apr","mai","jun","jul","aug","sep","okt","nov","des"))</f>
        <v/>
      </c>
      <c r="E419" s="21" t="n">
        <v>5</v>
      </c>
      <c r="F419" s="21" t="n">
        <v>5</v>
      </c>
      <c r="G419" s="21" t="n">
        <v>2</v>
      </c>
      <c r="H419" s="18">
        <f>IF(COUNT(E419:G419)&lt;3,"",ROUND(IF(OR(E419=1,F419=1),MIN('Les meg'!$C$25,E419*'Les meg'!$C$21+F419*'Les meg'!$C$22+G419*'Les meg'!$C$23),E419*'Les meg'!$C$21+F419*'Les meg'!$C$22+G419*'Les meg'!$C$23),1))</f>
        <v/>
      </c>
      <c r="I419" s="21" t="n">
        <v>26.1</v>
      </c>
      <c r="J419" s="21" t="n">
        <v>0</v>
      </c>
      <c r="K419" s="21" t="inlineStr">
        <is>
          <t>Tørt, kjølige netter. Høysesong.</t>
        </is>
      </c>
    </row>
    <row r="420">
      <c r="A420" s="21" t="inlineStr">
        <is>
          <t>ZMB</t>
        </is>
      </c>
      <c r="B420" s="5">
        <f>IFERROR(INDEX(Destinasjoner!$E$5:$E$64,MATCH(A420,Destinasjoner!$A$5:$A$64,0)),"")</f>
        <v/>
      </c>
      <c r="C420" s="21" t="n">
        <v>8</v>
      </c>
      <c r="D420" s="5">
        <f>IF(C420="","",CHOOSE(C420,"jan","feb","mar","apr","mai","jun","jul","aug","sep","okt","nov","des"))</f>
        <v/>
      </c>
      <c r="E420" s="21" t="n">
        <v>5</v>
      </c>
      <c r="F420" s="21" t="n">
        <v>5</v>
      </c>
      <c r="G420" s="21" t="n">
        <v>2</v>
      </c>
      <c r="H420" s="18">
        <f>IF(COUNT(E420:G420)&lt;3,"",ROUND(IF(OR(E420=1,F420=1),MIN('Les meg'!$C$25,E420*'Les meg'!$C$21+F420*'Les meg'!$C$22+G420*'Les meg'!$C$23),E420*'Les meg'!$C$21+F420*'Les meg'!$C$22+G420*'Les meg'!$C$23),1))</f>
        <v/>
      </c>
      <c r="I420" s="21" t="n">
        <v>29.8</v>
      </c>
      <c r="J420" s="21" t="n">
        <v>0</v>
      </c>
      <c r="K420" s="21" t="inlineStr">
        <is>
          <t>Tørt, viltet samles; Devil's Pool åpner.</t>
        </is>
      </c>
    </row>
    <row r="421">
      <c r="A421" s="21" t="inlineStr">
        <is>
          <t>ZMB</t>
        </is>
      </c>
      <c r="B421" s="5">
        <f>IFERROR(INDEX(Destinasjoner!$E$5:$E$64,MATCH(A421,Destinasjoner!$A$5:$A$64,0)),"")</f>
        <v/>
      </c>
      <c r="C421" s="21" t="n">
        <v>9</v>
      </c>
      <c r="D421" s="5">
        <f>IF(C421="","",CHOOSE(C421,"jan","feb","mar","apr","mai","jun","jul","aug","sep","okt","nov","des"))</f>
        <v/>
      </c>
      <c r="E421" s="21" t="n">
        <v>5</v>
      </c>
      <c r="F421" s="21" t="n">
        <v>5</v>
      </c>
      <c r="G421" s="21" t="n">
        <v>2</v>
      </c>
      <c r="H421" s="18">
        <f>IF(COUNT(E421:G421)&lt;3,"",ROUND(IF(OR(E421=1,F421=1),MIN('Les meg'!$C$25,E421*'Les meg'!$C$21+F421*'Les meg'!$C$22+G421*'Les meg'!$C$23),E421*'Les meg'!$C$21+F421*'Les meg'!$C$22+G421*'Les meg'!$C$23),1))</f>
        <v/>
      </c>
      <c r="I421" s="21" t="n">
        <v>33.6</v>
      </c>
      <c r="J421" s="21" t="n">
        <v>1</v>
      </c>
      <c r="K421" s="21" t="inlineStr">
        <is>
          <t>Toppvilt, varmere.</t>
        </is>
      </c>
    </row>
    <row r="422">
      <c r="A422" s="21" t="inlineStr">
        <is>
          <t>ZMB</t>
        </is>
      </c>
      <c r="B422" s="5">
        <f>IFERROR(INDEX(Destinasjoner!$E$5:$E$64,MATCH(A422,Destinasjoner!$A$5:$A$64,0)),"")</f>
        <v/>
      </c>
      <c r="C422" s="21" t="n">
        <v>10</v>
      </c>
      <c r="D422" s="5">
        <f>IF(C422="","",CHOOSE(C422,"jan","feb","mar","apr","mai","jun","jul","aug","sep","okt","nov","des"))</f>
        <v/>
      </c>
      <c r="E422" s="21" t="n">
        <v>3</v>
      </c>
      <c r="F422" s="21" t="n">
        <v>5</v>
      </c>
      <c r="G422" s="21" t="n">
        <v>3</v>
      </c>
      <c r="H422" s="18">
        <f>IF(COUNT(E422:G422)&lt;3,"",ROUND(IF(OR(E422=1,F422=1),MIN('Les meg'!$C$25,E422*'Les meg'!$C$21+F422*'Les meg'!$C$22+G422*'Les meg'!$C$23),E422*'Les meg'!$C$21+F422*'Les meg'!$C$22+G422*'Les meg'!$C$23),1))</f>
        <v/>
      </c>
      <c r="I422" s="21" t="n">
        <v>35.6</v>
      </c>
      <c r="J422" s="21" t="n">
        <v>11</v>
      </c>
      <c r="K422" s="21" t="inlineStr">
        <is>
          <t>Hetest (36 °C), men toppvilt ved vannet.</t>
        </is>
      </c>
    </row>
    <row r="423">
      <c r="A423" s="21" t="inlineStr">
        <is>
          <t>ZMB</t>
        </is>
      </c>
      <c r="B423" s="5">
        <f>IFERROR(INDEX(Destinasjoner!$E$5:$E$64,MATCH(A423,Destinasjoner!$A$5:$A$64,0)),"")</f>
        <v/>
      </c>
      <c r="C423" s="21" t="n">
        <v>11</v>
      </c>
      <c r="D423" s="5">
        <f>IF(C423="","",CHOOSE(C423,"jan","feb","mar","apr","mai","jun","jul","aug","sep","okt","nov","des"))</f>
        <v/>
      </c>
      <c r="E423" s="21" t="n">
        <v>2</v>
      </c>
      <c r="F423" s="21" t="n">
        <v>3</v>
      </c>
      <c r="G423" s="21" t="n">
        <v>4</v>
      </c>
      <c r="H423" s="18">
        <f>IF(COUNT(E423:G423)&lt;3,"",ROUND(IF(OR(E423=1,F423=1),MIN('Les meg'!$C$25,E423*'Les meg'!$C$21+F423*'Les meg'!$C$22+G423*'Les meg'!$C$23),E423*'Les meg'!$C$21+F423*'Les meg'!$C$22+G423*'Les meg'!$C$23),1))</f>
        <v/>
      </c>
      <c r="I423" s="21" t="n">
        <v>33.9</v>
      </c>
      <c r="J423" s="21" t="n">
        <v>78</v>
      </c>
      <c r="K423" s="21" t="inlineStr">
        <is>
          <t>Regnet starter; leire stenger.</t>
        </is>
      </c>
    </row>
    <row r="424">
      <c r="A424" s="21" t="inlineStr">
        <is>
          <t>ZMB</t>
        </is>
      </c>
      <c r="B424" s="5">
        <f>IFERROR(INDEX(Destinasjoner!$E$5:$E$64,MATCH(A424,Destinasjoner!$A$5:$A$64,0)),"")</f>
        <v/>
      </c>
      <c r="C424" s="21" t="n">
        <v>12</v>
      </c>
      <c r="D424" s="5">
        <f>IF(C424="","",CHOOSE(C424,"jan","feb","mar","apr","mai","jun","jul","aug","sep","okt","nov","des"))</f>
        <v/>
      </c>
      <c r="E424" s="21" t="n">
        <v>2</v>
      </c>
      <c r="F424" s="21" t="n">
        <v>3</v>
      </c>
      <c r="G424" s="21" t="n">
        <v>5</v>
      </c>
      <c r="H424" s="18">
        <f>IF(COUNT(E424:G424)&lt;3,"",ROUND(IF(OR(E424=1,F424=1),MIN('Les meg'!$C$25,E424*'Les meg'!$C$21+F424*'Les meg'!$C$22+G424*'Les meg'!$C$23),E424*'Les meg'!$C$21+F424*'Les meg'!$C$22+G424*'Les meg'!$C$23),1))</f>
        <v/>
      </c>
      <c r="I424" s="21" t="n">
        <v>31.5</v>
      </c>
      <c r="J424" s="21" t="n">
        <v>142</v>
      </c>
      <c r="K424" s="21" t="inlineStr">
        <is>
          <t>Regntid; grønn sesong.</t>
        </is>
      </c>
    </row>
    <row r="425">
      <c r="A425" s="21" t="inlineStr">
        <is>
          <t>ZWE</t>
        </is>
      </c>
      <c r="B425" s="5">
        <f>IFERROR(INDEX(Destinasjoner!$E$5:$E$64,MATCH(A425,Destinasjoner!$A$5:$A$64,0)),"")</f>
        <v/>
      </c>
      <c r="C425" s="21" t="n">
        <v>1</v>
      </c>
      <c r="D425" s="5">
        <f>IF(C425="","",CHOOSE(C425,"jan","feb","mar","apr","mai","jun","jul","aug","sep","okt","nov","des"))</f>
        <v/>
      </c>
      <c r="E425" s="21" t="n">
        <v>2</v>
      </c>
      <c r="F425" s="21" t="n">
        <v>3</v>
      </c>
      <c r="G425" s="21" t="n">
        <v>5</v>
      </c>
      <c r="H425" s="18">
        <f>IF(COUNT(E425:G425)&lt;3,"",ROUND(IF(OR(E425=1,F425=1),MIN('Les meg'!$C$25,E425*'Les meg'!$C$21+F425*'Les meg'!$C$22+G425*'Les meg'!$C$23),E425*'Les meg'!$C$21+F425*'Les meg'!$C$22+G425*'Les meg'!$C$23),1))</f>
        <v/>
      </c>
      <c r="I425" s="21" t="n">
        <v>29.2</v>
      </c>
      <c r="J425" s="21" t="n">
        <v>145</v>
      </c>
      <c r="K425" s="21" t="inlineStr">
        <is>
          <t>Regntid, vilt spredt.</t>
        </is>
      </c>
    </row>
    <row r="426">
      <c r="A426" s="21" t="inlineStr">
        <is>
          <t>ZWE</t>
        </is>
      </c>
      <c r="B426" s="5">
        <f>IFERROR(INDEX(Destinasjoner!$E$5:$E$64,MATCH(A426,Destinasjoner!$A$5:$A$64,0)),"")</f>
        <v/>
      </c>
      <c r="C426" s="21" t="n">
        <v>2</v>
      </c>
      <c r="D426" s="5">
        <f>IF(C426="","",CHOOSE(C426,"jan","feb","mar","apr","mai","jun","jul","aug","sep","okt","nov","des"))</f>
        <v/>
      </c>
      <c r="E426" s="21" t="n">
        <v>2</v>
      </c>
      <c r="F426" s="21" t="n">
        <v>3</v>
      </c>
      <c r="G426" s="21" t="n">
        <v>5</v>
      </c>
      <c r="H426" s="18">
        <f>IF(COUNT(E426:G426)&lt;3,"",ROUND(IF(OR(E426=1,F426=1),MIN('Les meg'!$C$25,E426*'Les meg'!$C$21+F426*'Les meg'!$C$22+G426*'Les meg'!$C$23),E426*'Les meg'!$C$21+F426*'Les meg'!$C$22+G426*'Les meg'!$C$23),1))</f>
        <v/>
      </c>
      <c r="I426" s="21" t="n">
        <v>28.9</v>
      </c>
      <c r="J426" s="21" t="n">
        <v>129</v>
      </c>
      <c r="K426" s="21" t="inlineStr">
        <is>
          <t>Regntid.</t>
        </is>
      </c>
    </row>
    <row r="427">
      <c r="A427" s="21" t="inlineStr">
        <is>
          <t>ZWE</t>
        </is>
      </c>
      <c r="B427" s="5">
        <f>IFERROR(INDEX(Destinasjoner!$E$5:$E$64,MATCH(A427,Destinasjoner!$A$5:$A$64,0)),"")</f>
        <v/>
      </c>
      <c r="C427" s="21" t="n">
        <v>3</v>
      </c>
      <c r="D427" s="5">
        <f>IF(C427="","",CHOOSE(C427,"jan","feb","mar","apr","mai","jun","jul","aug","sep","okt","nov","des"))</f>
        <v/>
      </c>
      <c r="E427" s="21" t="n">
        <v>3</v>
      </c>
      <c r="F427" s="21" t="n">
        <v>3</v>
      </c>
      <c r="G427" s="21" t="n">
        <v>5</v>
      </c>
      <c r="H427" s="18">
        <f>IF(COUNT(E427:G427)&lt;3,"",ROUND(IF(OR(E427=1,F427=1),MIN('Les meg'!$C$25,E427*'Les meg'!$C$21+F427*'Les meg'!$C$22+G427*'Les meg'!$C$23),E427*'Les meg'!$C$21+F427*'Les meg'!$C$22+G427*'Les meg'!$C$23),1))</f>
        <v/>
      </c>
      <c r="I427" s="21" t="n">
        <v>28.8</v>
      </c>
      <c r="J427" s="21" t="n">
        <v>57</v>
      </c>
      <c r="K427" s="21" t="inlineStr">
        <is>
          <t>Regnet avtar; Victoriafallene stiger.</t>
        </is>
      </c>
    </row>
    <row r="428">
      <c r="A428" s="21" t="inlineStr">
        <is>
          <t>ZWE</t>
        </is>
      </c>
      <c r="B428" s="5">
        <f>IFERROR(INDEX(Destinasjoner!$E$5:$E$64,MATCH(A428,Destinasjoner!$A$5:$A$64,0)),"")</f>
        <v/>
      </c>
      <c r="C428" s="21" t="n">
        <v>4</v>
      </c>
      <c r="D428" s="5">
        <f>IF(C428="","",CHOOSE(C428,"jan","feb","mar","apr","mai","jun","jul","aug","sep","okt","nov","des"))</f>
        <v/>
      </c>
      <c r="E428" s="21" t="n">
        <v>4</v>
      </c>
      <c r="F428" s="21" t="n">
        <v>4</v>
      </c>
      <c r="G428" s="21" t="n">
        <v>4</v>
      </c>
      <c r="H428" s="18">
        <f>IF(COUNT(E428:G428)&lt;3,"",ROUND(IF(OR(E428=1,F428=1),MIN('Les meg'!$C$25,E428*'Les meg'!$C$21+F428*'Les meg'!$C$22+G428*'Les meg'!$C$23),E428*'Les meg'!$C$21+F428*'Les meg'!$C$22+G428*'Les meg'!$C$23),1))</f>
        <v/>
      </c>
      <c r="I428" s="21" t="n">
        <v>27.9</v>
      </c>
      <c r="J428" s="21" t="n">
        <v>20</v>
      </c>
      <c r="K428" s="21" t="inlineStr">
        <is>
          <t>Tørrere; fallene på topp.</t>
        </is>
      </c>
    </row>
    <row r="429">
      <c r="A429" s="21" t="inlineStr">
        <is>
          <t>ZWE</t>
        </is>
      </c>
      <c r="B429" s="5">
        <f>IFERROR(INDEX(Destinasjoner!$E$5:$E$64,MATCH(A429,Destinasjoner!$A$5:$A$64,0)),"")</f>
        <v/>
      </c>
      <c r="C429" s="21" t="n">
        <v>5</v>
      </c>
      <c r="D429" s="5">
        <f>IF(C429="","",CHOOSE(C429,"jan","feb","mar","apr","mai","jun","jul","aug","sep","okt","nov","des"))</f>
        <v/>
      </c>
      <c r="E429" s="21" t="n">
        <v>4</v>
      </c>
      <c r="F429" s="21" t="n">
        <v>4</v>
      </c>
      <c r="G429" s="21" t="n">
        <v>4</v>
      </c>
      <c r="H429" s="18">
        <f>IF(COUNT(E429:G429)&lt;3,"",ROUND(IF(OR(E429=1,F429=1),MIN('Les meg'!$C$25,E429*'Les meg'!$C$21+F429*'Les meg'!$C$22+G429*'Les meg'!$C$23),E429*'Les meg'!$C$21+F429*'Les meg'!$C$22+G429*'Les meg'!$C$23),1))</f>
        <v/>
      </c>
      <c r="I429" s="21" t="n">
        <v>26.2</v>
      </c>
      <c r="J429" s="21" t="n">
        <v>3</v>
      </c>
      <c r="K429" s="21" t="inlineStr">
        <is>
          <t>Tørrsesongen starter.</t>
        </is>
      </c>
    </row>
    <row r="430">
      <c r="A430" s="21" t="inlineStr">
        <is>
          <t>ZWE</t>
        </is>
      </c>
      <c r="B430" s="5">
        <f>IFERROR(INDEX(Destinasjoner!$E$5:$E$64,MATCH(A430,Destinasjoner!$A$5:$A$64,0)),"")</f>
        <v/>
      </c>
      <c r="C430" s="21" t="n">
        <v>6</v>
      </c>
      <c r="D430" s="5">
        <f>IF(C430="","",CHOOSE(C430,"jan","feb","mar","apr","mai","jun","jul","aug","sep","okt","nov","des"))</f>
        <v/>
      </c>
      <c r="E430" s="21" t="n">
        <v>5</v>
      </c>
      <c r="F430" s="21" t="n">
        <v>4</v>
      </c>
      <c r="G430" s="21" t="n">
        <v>3</v>
      </c>
      <c r="H430" s="18">
        <f>IF(COUNT(E430:G430)&lt;3,"",ROUND(IF(OR(E430=1,F430=1),MIN('Les meg'!$C$25,E430*'Les meg'!$C$21+F430*'Les meg'!$C$22+G430*'Les meg'!$C$23),E430*'Les meg'!$C$21+F430*'Les meg'!$C$22+G430*'Les meg'!$C$23),1))</f>
        <v/>
      </c>
      <c r="I430" s="21" t="n">
        <v>24</v>
      </c>
      <c r="J430" s="21" t="n">
        <v>0</v>
      </c>
      <c r="K430" s="21" t="inlineStr">
        <is>
          <t>Tørt og kjølig.</t>
        </is>
      </c>
    </row>
    <row r="431">
      <c r="A431" s="21" t="inlineStr">
        <is>
          <t>ZWE</t>
        </is>
      </c>
      <c r="B431" s="5">
        <f>IFERROR(INDEX(Destinasjoner!$E$5:$E$64,MATCH(A431,Destinasjoner!$A$5:$A$64,0)),"")</f>
        <v/>
      </c>
      <c r="C431" s="21" t="n">
        <v>7</v>
      </c>
      <c r="D431" s="5">
        <f>IF(C431="","",CHOOSE(C431,"jan","feb","mar","apr","mai","jun","jul","aug","sep","okt","nov","des"))</f>
        <v/>
      </c>
      <c r="E431" s="21" t="n">
        <v>5</v>
      </c>
      <c r="F431" s="21" t="n">
        <v>5</v>
      </c>
      <c r="G431" s="21" t="n">
        <v>2</v>
      </c>
      <c r="H431" s="18">
        <f>IF(COUNT(E431:G431)&lt;3,"",ROUND(IF(OR(E431=1,F431=1),MIN('Les meg'!$C$25,E431*'Les meg'!$C$21+F431*'Les meg'!$C$22+G431*'Les meg'!$C$23),E431*'Les meg'!$C$21+F431*'Les meg'!$C$22+G431*'Les meg'!$C$23),1))</f>
        <v/>
      </c>
      <c r="I431" s="21" t="n">
        <v>24.1</v>
      </c>
      <c r="J431" s="21" t="n">
        <v>0</v>
      </c>
      <c r="K431" s="21" t="inlineStr">
        <is>
          <t>Tørt; godt vilt.</t>
        </is>
      </c>
    </row>
    <row r="432">
      <c r="A432" s="21" t="inlineStr">
        <is>
          <t>ZWE</t>
        </is>
      </c>
      <c r="B432" s="5">
        <f>IFERROR(INDEX(Destinasjoner!$E$5:$E$64,MATCH(A432,Destinasjoner!$A$5:$A$64,0)),"")</f>
        <v/>
      </c>
      <c r="C432" s="21" t="n">
        <v>8</v>
      </c>
      <c r="D432" s="5">
        <f>IF(C432="","",CHOOSE(C432,"jan","feb","mar","apr","mai","jun","jul","aug","sep","okt","nov","des"))</f>
        <v/>
      </c>
      <c r="E432" s="21" t="n">
        <v>5</v>
      </c>
      <c r="F432" s="21" t="n">
        <v>5</v>
      </c>
      <c r="G432" s="21" t="n">
        <v>2</v>
      </c>
      <c r="H432" s="18">
        <f>IF(COUNT(E432:G432)&lt;3,"",ROUND(IF(OR(E432=1,F432=1),MIN('Les meg'!$C$25,E432*'Les meg'!$C$21+F432*'Les meg'!$C$22+G432*'Les meg'!$C$23),E432*'Les meg'!$C$21+F432*'Les meg'!$C$22+G432*'Les meg'!$C$23),1))</f>
        <v/>
      </c>
      <c r="I432" s="21" t="n">
        <v>26.9</v>
      </c>
      <c r="J432" s="21" t="n">
        <v>1</v>
      </c>
      <c r="K432" s="21" t="inlineStr">
        <is>
          <t>Tørt; vilt ved vannhullene i Hwange.</t>
        </is>
      </c>
    </row>
    <row r="433">
      <c r="A433" s="21" t="inlineStr">
        <is>
          <t>ZWE</t>
        </is>
      </c>
      <c r="B433" s="5">
        <f>IFERROR(INDEX(Destinasjoner!$E$5:$E$64,MATCH(A433,Destinasjoner!$A$5:$A$64,0)),"")</f>
        <v/>
      </c>
      <c r="C433" s="21" t="n">
        <v>9</v>
      </c>
      <c r="D433" s="5">
        <f>IF(C433="","",CHOOSE(C433,"jan","feb","mar","apr","mai","jun","jul","aug","sep","okt","nov","des"))</f>
        <v/>
      </c>
      <c r="E433" s="21" t="n">
        <v>5</v>
      </c>
      <c r="F433" s="21" t="n">
        <v>5</v>
      </c>
      <c r="G433" s="21" t="n">
        <v>2</v>
      </c>
      <c r="H433" s="18">
        <f>IF(COUNT(E433:G433)&lt;3,"",ROUND(IF(OR(E433=1,F433=1),MIN('Les meg'!$C$25,E433*'Les meg'!$C$21+F433*'Les meg'!$C$22+G433*'Les meg'!$C$23),E433*'Les meg'!$C$21+F433*'Les meg'!$C$22+G433*'Les meg'!$C$23),1))</f>
        <v/>
      </c>
      <c r="I433" s="21" t="n">
        <v>30.9</v>
      </c>
      <c r="J433" s="21" t="n">
        <v>2</v>
      </c>
      <c r="K433" s="21" t="inlineStr">
        <is>
          <t>Toppvilt; Mana Pools på sitt beste.</t>
        </is>
      </c>
    </row>
    <row r="434">
      <c r="A434" s="21" t="inlineStr">
        <is>
          <t>ZWE</t>
        </is>
      </c>
      <c r="B434" s="5">
        <f>IFERROR(INDEX(Destinasjoner!$E$5:$E$64,MATCH(A434,Destinasjoner!$A$5:$A$64,0)),"")</f>
        <v/>
      </c>
      <c r="C434" s="21" t="n">
        <v>10</v>
      </c>
      <c r="D434" s="5">
        <f>IF(C434="","",CHOOSE(C434,"jan","feb","mar","apr","mai","jun","jul","aug","sep","okt","nov","des"))</f>
        <v/>
      </c>
      <c r="E434" s="21" t="n">
        <v>3</v>
      </c>
      <c r="F434" s="21" t="n">
        <v>5</v>
      </c>
      <c r="G434" s="21" t="n">
        <v>3</v>
      </c>
      <c r="H434" s="18">
        <f>IF(COUNT(E434:G434)&lt;3,"",ROUND(IF(OR(E434=1,F434=1),MIN('Les meg'!$C$25,E434*'Les meg'!$C$21+F434*'Les meg'!$C$22+G434*'Les meg'!$C$23),E434*'Les meg'!$C$21+F434*'Les meg'!$C$22+G434*'Les meg'!$C$23),1))</f>
        <v/>
      </c>
      <c r="I434" s="21" t="n">
        <v>32.1</v>
      </c>
      <c r="J434" s="21" t="n">
        <v>21</v>
      </c>
      <c r="K434" s="21" t="inlineStr">
        <is>
          <t>Hett, men svært godt vilt.</t>
        </is>
      </c>
    </row>
    <row r="435">
      <c r="A435" s="21" t="inlineStr">
        <is>
          <t>ZWE</t>
        </is>
      </c>
      <c r="B435" s="5">
        <f>IFERROR(INDEX(Destinasjoner!$E$5:$E$64,MATCH(A435,Destinasjoner!$A$5:$A$64,0)),"")</f>
        <v/>
      </c>
      <c r="C435" s="21" t="n">
        <v>11</v>
      </c>
      <c r="D435" s="5">
        <f>IF(C435="","",CHOOSE(C435,"jan","feb","mar","apr","mai","jun","jul","aug","sep","okt","nov","des"))</f>
        <v/>
      </c>
      <c r="E435" s="21" t="n">
        <v>3</v>
      </c>
      <c r="F435" s="21" t="n">
        <v>3</v>
      </c>
      <c r="G435" s="21" t="n">
        <v>4</v>
      </c>
      <c r="H435" s="18">
        <f>IF(COUNT(E435:G435)&lt;3,"",ROUND(IF(OR(E435=1,F435=1),MIN('Les meg'!$C$25,E435*'Les meg'!$C$21+F435*'Les meg'!$C$22+G435*'Les meg'!$C$23),E435*'Les meg'!$C$21+F435*'Les meg'!$C$22+G435*'Les meg'!$C$23),1))</f>
        <v/>
      </c>
      <c r="I435" s="21" t="n">
        <v>31.7</v>
      </c>
      <c r="J435" s="21" t="n">
        <v>56</v>
      </c>
      <c r="K435" s="21" t="inlineStr">
        <is>
          <t>Regnet starter.</t>
        </is>
      </c>
    </row>
    <row r="436">
      <c r="A436" s="21" t="inlineStr">
        <is>
          <t>ZWE</t>
        </is>
      </c>
      <c r="B436" s="5">
        <f>IFERROR(INDEX(Destinasjoner!$E$5:$E$64,MATCH(A436,Destinasjoner!$A$5:$A$64,0)),"")</f>
        <v/>
      </c>
      <c r="C436" s="21" t="n">
        <v>12</v>
      </c>
      <c r="D436" s="5">
        <f>IF(C436="","",CHOOSE(C436,"jan","feb","mar","apr","mai","jun","jul","aug","sep","okt","nov","des"))</f>
        <v/>
      </c>
      <c r="E436" s="21" t="n">
        <v>2</v>
      </c>
      <c r="F436" s="21" t="n">
        <v>3</v>
      </c>
      <c r="G436" s="21" t="n">
        <v>5</v>
      </c>
      <c r="H436" s="18">
        <f>IF(COUNT(E436:G436)&lt;3,"",ROUND(IF(OR(E436=1,F436=1),MIN('Les meg'!$C$25,E436*'Les meg'!$C$21+F436*'Les meg'!$C$22+G436*'Les meg'!$C$23),E436*'Les meg'!$C$21+F436*'Les meg'!$C$22+G436*'Les meg'!$C$23),1))</f>
        <v/>
      </c>
      <c r="I436" s="21" t="n">
        <v>29.7</v>
      </c>
      <c r="J436" s="21" t="n">
        <v>127</v>
      </c>
      <c r="K436" s="21" t="inlineStr">
        <is>
          <t>Regntid.</t>
        </is>
      </c>
    </row>
    <row r="437">
      <c r="A437" s="21" t="inlineStr">
        <is>
          <t>STP</t>
        </is>
      </c>
      <c r="B437" s="5">
        <f>IFERROR(INDEX(Destinasjoner!$E$5:$E$64,MATCH(A437,Destinasjoner!$A$5:$A$64,0)),"")</f>
        <v/>
      </c>
      <c r="C437" s="21" t="n">
        <v>1</v>
      </c>
      <c r="D437" s="5">
        <f>IF(C437="","",CHOOSE(C437,"jan","feb","mar","apr","mai","jun","jul","aug","sep","okt","nov","des"))</f>
        <v/>
      </c>
      <c r="E437" s="21" t="n">
        <v>3</v>
      </c>
      <c r="F437" s="21" t="n">
        <v>4</v>
      </c>
      <c r="G437" s="21" t="n">
        <v>4</v>
      </c>
      <c r="H437" s="18">
        <f>IF(COUNT(E437:G437)&lt;3,"",ROUND(IF(OR(E437=1,F437=1),MIN('Les meg'!$C$25,E437*'Les meg'!$C$21+F437*'Les meg'!$C$22+G437*'Les meg'!$C$23),E437*'Les meg'!$C$21+F437*'Les meg'!$C$22+G437*'Les meg'!$C$23),1))</f>
        <v/>
      </c>
      <c r="I437" s="21" t="n">
        <v>29.4</v>
      </c>
      <c r="J437" s="21" t="n">
        <v>81</v>
      </c>
      <c r="K437" s="21" t="inlineStr">
        <is>
          <t>Kort tørrere periode («gravanito»); skilpadder.</t>
        </is>
      </c>
    </row>
    <row r="438">
      <c r="A438" s="21" t="inlineStr">
        <is>
          <t>STP</t>
        </is>
      </c>
      <c r="B438" s="5">
        <f>IFERROR(INDEX(Destinasjoner!$E$5:$E$64,MATCH(A438,Destinasjoner!$A$5:$A$64,0)),"")</f>
        <v/>
      </c>
      <c r="C438" s="21" t="n">
        <v>2</v>
      </c>
      <c r="D438" s="5">
        <f>IF(C438="","",CHOOSE(C438,"jan","feb","mar","apr","mai","jun","jul","aug","sep","okt","nov","des"))</f>
        <v/>
      </c>
      <c r="E438" s="21" t="n">
        <v>3</v>
      </c>
      <c r="F438" s="21" t="n">
        <v>4</v>
      </c>
      <c r="G438" s="21" t="n">
        <v>4</v>
      </c>
      <c r="H438" s="18">
        <f>IF(COUNT(E438:G438)&lt;3,"",ROUND(IF(OR(E438=1,F438=1),MIN('Les meg'!$C$25,E438*'Les meg'!$C$21+F438*'Les meg'!$C$22+G438*'Les meg'!$C$23),E438*'Les meg'!$C$21+F438*'Les meg'!$C$22+G438*'Les meg'!$C$23),1))</f>
        <v/>
      </c>
      <c r="I438" s="21" t="n">
        <v>29.9</v>
      </c>
      <c r="J438" s="21" t="n">
        <v>84</v>
      </c>
      <c r="K438" s="21" t="inlineStr">
        <is>
          <t>Skilpadder, noe regn.</t>
        </is>
      </c>
    </row>
    <row r="439">
      <c r="A439" s="21" t="inlineStr">
        <is>
          <t>STP</t>
        </is>
      </c>
      <c r="B439" s="5">
        <f>IFERROR(INDEX(Destinasjoner!$E$5:$E$64,MATCH(A439,Destinasjoner!$A$5:$A$64,0)),"")</f>
        <v/>
      </c>
      <c r="C439" s="21" t="n">
        <v>3</v>
      </c>
      <c r="D439" s="5">
        <f>IF(C439="","",CHOOSE(C439,"jan","feb","mar","apr","mai","jun","jul","aug","sep","okt","nov","des"))</f>
        <v/>
      </c>
      <c r="E439" s="21" t="n">
        <v>2</v>
      </c>
      <c r="F439" s="21" t="n">
        <v>3</v>
      </c>
      <c r="G439" s="21" t="n">
        <v>5</v>
      </c>
      <c r="H439" s="18">
        <f>IF(COUNT(E439:G439)&lt;3,"",ROUND(IF(OR(E439=1,F439=1),MIN('Les meg'!$C$25,E439*'Les meg'!$C$21+F439*'Les meg'!$C$22+G439*'Les meg'!$C$23),E439*'Les meg'!$C$21+F439*'Les meg'!$C$22+G439*'Les meg'!$C$23),1))</f>
        <v/>
      </c>
      <c r="I439" s="21" t="n">
        <v>30.2</v>
      </c>
      <c r="J439" s="21" t="n">
        <v>131</v>
      </c>
      <c r="K439" s="21" t="inlineStr">
        <is>
          <t>Regntid.</t>
        </is>
      </c>
    </row>
    <row r="440">
      <c r="A440" s="21" t="inlineStr">
        <is>
          <t>STP</t>
        </is>
      </c>
      <c r="B440" s="5">
        <f>IFERROR(INDEX(Destinasjoner!$E$5:$E$64,MATCH(A440,Destinasjoner!$A$5:$A$64,0)),"")</f>
        <v/>
      </c>
      <c r="C440" s="21" t="n">
        <v>4</v>
      </c>
      <c r="D440" s="5">
        <f>IF(C440="","",CHOOSE(C440,"jan","feb","mar","apr","mai","jun","jul","aug","sep","okt","nov","des"))</f>
        <v/>
      </c>
      <c r="E440" s="21" t="n">
        <v>2</v>
      </c>
      <c r="F440" s="21" t="n">
        <v>3</v>
      </c>
      <c r="G440" s="21" t="n">
        <v>5</v>
      </c>
      <c r="H440" s="18">
        <f>IF(COUNT(E440:G440)&lt;3,"",ROUND(IF(OR(E440=1,F440=1),MIN('Les meg'!$C$25,E440*'Les meg'!$C$21+F440*'Les meg'!$C$22+G440*'Les meg'!$C$23),E440*'Les meg'!$C$21+F440*'Les meg'!$C$22+G440*'Les meg'!$C$23),1))</f>
        <v/>
      </c>
      <c r="I440" s="21" t="n">
        <v>30.1</v>
      </c>
      <c r="J440" s="21" t="n">
        <v>122</v>
      </c>
      <c r="K440" s="21" t="inlineStr">
        <is>
          <t>Regntid.</t>
        </is>
      </c>
    </row>
    <row r="441">
      <c r="A441" s="21" t="inlineStr">
        <is>
          <t>STP</t>
        </is>
      </c>
      <c r="B441" s="5">
        <f>IFERROR(INDEX(Destinasjoner!$E$5:$E$64,MATCH(A441,Destinasjoner!$A$5:$A$64,0)),"")</f>
        <v/>
      </c>
      <c r="C441" s="21" t="n">
        <v>5</v>
      </c>
      <c r="D441" s="5">
        <f>IF(C441="","",CHOOSE(C441,"jan","feb","mar","apr","mai","jun","jul","aug","sep","okt","nov","des"))</f>
        <v/>
      </c>
      <c r="E441" s="21" t="n">
        <v>2</v>
      </c>
      <c r="F441" s="21" t="n">
        <v>3</v>
      </c>
      <c r="G441" s="21" t="n">
        <v>5</v>
      </c>
      <c r="H441" s="18">
        <f>IF(COUNT(E441:G441)&lt;3,"",ROUND(IF(OR(E441=1,F441=1),MIN('Les meg'!$C$25,E441*'Les meg'!$C$21+F441*'Les meg'!$C$22+G441*'Les meg'!$C$23),E441*'Les meg'!$C$21+F441*'Les meg'!$C$22+G441*'Les meg'!$C$23),1))</f>
        <v/>
      </c>
      <c r="I441" s="21" t="n">
        <v>29.3</v>
      </c>
      <c r="J441" s="21" t="n">
        <v>113</v>
      </c>
      <c r="K441" s="21" t="inlineStr">
        <is>
          <t>Regntiden avtar mot slutten.</t>
        </is>
      </c>
    </row>
    <row r="442">
      <c r="A442" s="21" t="inlineStr">
        <is>
          <t>STP</t>
        </is>
      </c>
      <c r="B442" s="5">
        <f>IFERROR(INDEX(Destinasjoner!$E$5:$E$64,MATCH(A442,Destinasjoner!$A$5:$A$64,0)),"")</f>
        <v/>
      </c>
      <c r="C442" s="21" t="n">
        <v>6</v>
      </c>
      <c r="D442" s="5">
        <f>IF(C442="","",CHOOSE(C442,"jan","feb","mar","apr","mai","jun","jul","aug","sep","okt","nov","des"))</f>
        <v/>
      </c>
      <c r="E442" s="21" t="n">
        <v>4</v>
      </c>
      <c r="F442" s="21" t="n">
        <v>4</v>
      </c>
      <c r="G442" s="21" t="n">
        <v>4</v>
      </c>
      <c r="H442" s="18">
        <f>IF(COUNT(E442:G442)&lt;3,"",ROUND(IF(OR(E442=1,F442=1),MIN('Les meg'!$C$25,E442*'Les meg'!$C$21+F442*'Les meg'!$C$22+G442*'Les meg'!$C$23),E442*'Les meg'!$C$21+F442*'Les meg'!$C$22+G442*'Les meg'!$C$23),1))</f>
        <v/>
      </c>
      <c r="I442" s="21" t="n">
        <v>28</v>
      </c>
      <c r="J442" s="21" t="n">
        <v>19</v>
      </c>
      <c r="K442" s="21" t="inlineStr">
        <is>
          <t>Tørrsesongen («gravana») starter.</t>
        </is>
      </c>
    </row>
    <row r="443">
      <c r="A443" s="21" t="inlineStr">
        <is>
          <t>STP</t>
        </is>
      </c>
      <c r="B443" s="5">
        <f>IFERROR(INDEX(Destinasjoner!$E$5:$E$64,MATCH(A443,Destinasjoner!$A$5:$A$64,0)),"")</f>
        <v/>
      </c>
      <c r="C443" s="21" t="n">
        <v>7</v>
      </c>
      <c r="D443" s="5">
        <f>IF(C443="","",CHOOSE(C443,"jan","feb","mar","apr","mai","jun","jul","aug","sep","okt","nov","des"))</f>
        <v/>
      </c>
      <c r="E443" s="21" t="n">
        <v>5</v>
      </c>
      <c r="F443" s="21" t="n">
        <v>5</v>
      </c>
      <c r="G443" s="21" t="n">
        <v>3</v>
      </c>
      <c r="H443" s="18">
        <f>IF(COUNT(E443:G443)&lt;3,"",ROUND(IF(OR(E443=1,F443=1),MIN('Les meg'!$C$25,E443*'Les meg'!$C$21+F443*'Les meg'!$C$22+G443*'Les meg'!$C$23),E443*'Les meg'!$C$21+F443*'Les meg'!$C$22+G443*'Les meg'!$C$23),1))</f>
        <v/>
      </c>
      <c r="I443" s="21" t="n">
        <v>27.3</v>
      </c>
      <c r="J443" s="21" t="n">
        <v>0</v>
      </c>
      <c r="K443" s="21" t="inlineStr">
        <is>
          <t>Tørt og kjøligere; hval.</t>
        </is>
      </c>
    </row>
    <row r="444">
      <c r="A444" s="21" t="inlineStr">
        <is>
          <t>STP</t>
        </is>
      </c>
      <c r="B444" s="5">
        <f>IFERROR(INDEX(Destinasjoner!$E$5:$E$64,MATCH(A444,Destinasjoner!$A$5:$A$64,0)),"")</f>
        <v/>
      </c>
      <c r="C444" s="21" t="n">
        <v>8</v>
      </c>
      <c r="D444" s="5">
        <f>IF(C444="","",CHOOSE(C444,"jan","feb","mar","apr","mai","jun","jul","aug","sep","okt","nov","des"))</f>
        <v/>
      </c>
      <c r="E444" s="21" t="n">
        <v>5</v>
      </c>
      <c r="F444" s="21" t="n">
        <v>5</v>
      </c>
      <c r="G444" s="21" t="n">
        <v>3</v>
      </c>
      <c r="H444" s="18">
        <f>IF(COUNT(E444:G444)&lt;3,"",ROUND(IF(OR(E444=1,F444=1),MIN('Les meg'!$C$25,E444*'Les meg'!$C$21+F444*'Les meg'!$C$22+G444*'Les meg'!$C$23),E444*'Les meg'!$C$21+F444*'Les meg'!$C$22+G444*'Les meg'!$C$23),1))</f>
        <v/>
      </c>
      <c r="I444" s="21" t="n">
        <v>27.7</v>
      </c>
      <c r="J444" s="21" t="n">
        <v>1</v>
      </c>
      <c r="K444" s="21" t="inlineStr">
        <is>
          <t>Tørt; hval. Høysesong.</t>
        </is>
      </c>
    </row>
    <row r="445">
      <c r="A445" s="21" t="inlineStr">
        <is>
          <t>STP</t>
        </is>
      </c>
      <c r="B445" s="5">
        <f>IFERROR(INDEX(Destinasjoner!$E$5:$E$64,MATCH(A445,Destinasjoner!$A$5:$A$64,0)),"")</f>
        <v/>
      </c>
      <c r="C445" s="21" t="n">
        <v>9</v>
      </c>
      <c r="D445" s="5">
        <f>IF(C445="","",CHOOSE(C445,"jan","feb","mar","apr","mai","jun","jul","aug","sep","okt","nov","des"))</f>
        <v/>
      </c>
      <c r="E445" s="21" t="n">
        <v>4</v>
      </c>
      <c r="F445" s="21" t="n">
        <v>5</v>
      </c>
      <c r="G445" s="21" t="n">
        <v>4</v>
      </c>
      <c r="H445" s="18">
        <f>IF(COUNT(E445:G445)&lt;3,"",ROUND(IF(OR(E445=1,F445=1),MIN('Les meg'!$C$25,E445*'Les meg'!$C$21+F445*'Les meg'!$C$22+G445*'Les meg'!$C$23),E445*'Les meg'!$C$21+F445*'Les meg'!$C$22+G445*'Les meg'!$C$23),1))</f>
        <v/>
      </c>
      <c r="I445" s="21" t="n">
        <v>28.6</v>
      </c>
      <c r="J445" s="21" t="n">
        <v>17</v>
      </c>
      <c r="K445" s="21" t="inlineStr">
        <is>
          <t>Tørt; hval.</t>
        </is>
      </c>
    </row>
    <row r="446">
      <c r="A446" s="21" t="inlineStr">
        <is>
          <t>STP</t>
        </is>
      </c>
      <c r="B446" s="5">
        <f>IFERROR(INDEX(Destinasjoner!$E$5:$E$64,MATCH(A446,Destinasjoner!$A$5:$A$64,0)),"")</f>
        <v/>
      </c>
      <c r="C446" s="21" t="n">
        <v>10</v>
      </c>
      <c r="D446" s="5">
        <f>IF(C446="","",CHOOSE(C446,"jan","feb","mar","apr","mai","jun","jul","aug","sep","okt","nov","des"))</f>
        <v/>
      </c>
      <c r="E446" s="21" t="n">
        <v>3</v>
      </c>
      <c r="F446" s="21" t="n">
        <v>4</v>
      </c>
      <c r="G446" s="21" t="n">
        <v>4</v>
      </c>
      <c r="H446" s="18">
        <f>IF(COUNT(E446:G446)&lt;3,"",ROUND(IF(OR(E446=1,F446=1),MIN('Les meg'!$C$25,E446*'Les meg'!$C$21+F446*'Les meg'!$C$22+G446*'Les meg'!$C$23),E446*'Les meg'!$C$21+F446*'Les meg'!$C$22+G446*'Les meg'!$C$23),1))</f>
        <v/>
      </c>
      <c r="I446" s="21" t="n">
        <v>28.7</v>
      </c>
      <c r="J446" s="21" t="n">
        <v>110</v>
      </c>
      <c r="K446" s="21" t="inlineStr">
        <is>
          <t>Regnet kommer; hval.</t>
        </is>
      </c>
    </row>
    <row r="447">
      <c r="A447" s="21" t="inlineStr">
        <is>
          <t>STP</t>
        </is>
      </c>
      <c r="B447" s="5">
        <f>IFERROR(INDEX(Destinasjoner!$E$5:$E$64,MATCH(A447,Destinasjoner!$A$5:$A$64,0)),"")</f>
        <v/>
      </c>
      <c r="C447" s="21" t="n">
        <v>11</v>
      </c>
      <c r="D447" s="5">
        <f>IF(C447="","",CHOOSE(C447,"jan","feb","mar","apr","mai","jun","jul","aug","sep","okt","nov","des"))</f>
        <v/>
      </c>
      <c r="E447" s="21" t="n">
        <v>3</v>
      </c>
      <c r="F447" s="21" t="n">
        <v>4</v>
      </c>
      <c r="G447" s="21" t="n">
        <v>4</v>
      </c>
      <c r="H447" s="18">
        <f>IF(COUNT(E447:G447)&lt;3,"",ROUND(IF(OR(E447=1,F447=1),MIN('Les meg'!$C$25,E447*'Les meg'!$C$21+F447*'Les meg'!$C$22+G447*'Les meg'!$C$23),E447*'Les meg'!$C$21+F447*'Les meg'!$C$22+G447*'Les meg'!$C$23),1))</f>
        <v/>
      </c>
      <c r="I447" s="21" t="n">
        <v>29</v>
      </c>
      <c r="J447" s="21" t="n">
        <v>99</v>
      </c>
      <c r="K447" s="21" t="inlineStr">
        <is>
          <t>Regn; skilpaddesesongen starter.</t>
        </is>
      </c>
    </row>
    <row r="448">
      <c r="A448" s="21" t="inlineStr">
        <is>
          <t>STP</t>
        </is>
      </c>
      <c r="B448" s="5">
        <f>IFERROR(INDEX(Destinasjoner!$E$5:$E$64,MATCH(A448,Destinasjoner!$A$5:$A$64,0)),"")</f>
        <v/>
      </c>
      <c r="C448" s="21" t="n">
        <v>12</v>
      </c>
      <c r="D448" s="5">
        <f>IF(C448="","",CHOOSE(C448,"jan","feb","mar","apr","mai","jun","jul","aug","sep","okt","nov","des"))</f>
        <v/>
      </c>
      <c r="E448" s="21" t="n">
        <v>3</v>
      </c>
      <c r="F448" s="21" t="n">
        <v>4</v>
      </c>
      <c r="G448" s="21" t="n">
        <v>3</v>
      </c>
      <c r="H448" s="18">
        <f>IF(COUNT(E448:G448)&lt;3,"",ROUND(IF(OR(E448=1,F448=1),MIN('Les meg'!$C$25,E448*'Les meg'!$C$21+F448*'Les meg'!$C$22+G448*'Les meg'!$C$23),E448*'Les meg'!$C$21+F448*'Les meg'!$C$22+G448*'Les meg'!$C$23),1))</f>
        <v/>
      </c>
      <c r="I448" s="21" t="n">
        <v>29.1</v>
      </c>
      <c r="J448" s="21" t="n">
        <v>108</v>
      </c>
      <c r="K448" s="21" t="inlineStr">
        <is>
          <t>Kort tørrere periode; skilpadder. Jul.</t>
        </is>
      </c>
    </row>
    <row r="449">
      <c r="A449" s="21" t="inlineStr">
        <is>
          <t>EGY</t>
        </is>
      </c>
      <c r="B449" s="5">
        <f>IFERROR(INDEX(Destinasjoner!$E$5:$E$64,MATCH(A449,Destinasjoner!$A$5:$A$64,0)),"")</f>
        <v/>
      </c>
      <c r="C449" s="21" t="n">
        <v>1</v>
      </c>
      <c r="D449" s="5">
        <f>IF(C449="","",CHOOSE(C449,"jan","feb","mar","apr","mai","jun","jul","aug","sep","okt","nov","des"))</f>
        <v/>
      </c>
      <c r="E449" s="21" t="n">
        <v>5</v>
      </c>
      <c r="F449" s="21" t="n">
        <v>5</v>
      </c>
      <c r="G449" s="21" t="n">
        <v>2</v>
      </c>
      <c r="H449" s="18">
        <f>IF(COUNT(E449:G449)&lt;3,"",ROUND(IF(OR(E449=1,F449=1),MIN('Les meg'!$C$25,E449*'Les meg'!$C$21+F449*'Les meg'!$C$22+G449*'Les meg'!$C$23),E449*'Les meg'!$C$21+F449*'Les meg'!$C$22+G449*'Les meg'!$C$23),1))</f>
        <v/>
      </c>
      <c r="I449" s="21" t="n">
        <v>22.8</v>
      </c>
      <c r="J449" s="21" t="n">
        <v>3</v>
      </c>
      <c r="K449" s="21" t="inlineStr">
        <is>
          <t>Behagelig (Luxor 23 °C, Kairo 19 °C). Høysesong.</t>
        </is>
      </c>
    </row>
    <row r="450">
      <c r="A450" s="21" t="inlineStr">
        <is>
          <t>EGY</t>
        </is>
      </c>
      <c r="B450" s="5">
        <f>IFERROR(INDEX(Destinasjoner!$E$5:$E$64,MATCH(A450,Destinasjoner!$A$5:$A$64,0)),"")</f>
        <v/>
      </c>
      <c r="C450" s="21" t="n">
        <v>2</v>
      </c>
      <c r="D450" s="5">
        <f>IF(C450="","",CHOOSE(C450,"jan","feb","mar","apr","mai","jun","jul","aug","sep","okt","nov","des"))</f>
        <v/>
      </c>
      <c r="E450" s="21" t="n">
        <v>5</v>
      </c>
      <c r="F450" s="21" t="n">
        <v>5</v>
      </c>
      <c r="G450" s="21" t="n">
        <v>2</v>
      </c>
      <c r="H450" s="18">
        <f>IF(COUNT(E450:G450)&lt;3,"",ROUND(IF(OR(E450=1,F450=1),MIN('Les meg'!$C$25,E450*'Les meg'!$C$21+F450*'Les meg'!$C$22+G450*'Les meg'!$C$23),E450*'Les meg'!$C$21+F450*'Les meg'!$C$22+G450*'Les meg'!$C$23),1))</f>
        <v/>
      </c>
      <c r="I450" s="21" t="n">
        <v>25.3</v>
      </c>
      <c r="J450" s="21" t="n">
        <v>0</v>
      </c>
      <c r="K450" s="21" t="inlineStr">
        <is>
          <t>Behagelig; Abu Simbel-solfenomen 22.2 (se Vinduer).</t>
        </is>
      </c>
    </row>
    <row r="451">
      <c r="A451" s="21" t="inlineStr">
        <is>
          <t>EGY</t>
        </is>
      </c>
      <c r="B451" s="5">
        <f>IFERROR(INDEX(Destinasjoner!$E$5:$E$64,MATCH(A451,Destinasjoner!$A$5:$A$64,0)),"")</f>
        <v/>
      </c>
      <c r="C451" s="21" t="n">
        <v>3</v>
      </c>
      <c r="D451" s="5">
        <f>IF(C451="","",CHOOSE(C451,"jan","feb","mar","apr","mai","jun","jul","aug","sep","okt","nov","des"))</f>
        <v/>
      </c>
      <c r="E451" s="21" t="n">
        <v>4</v>
      </c>
      <c r="F451" s="21" t="n">
        <v>5</v>
      </c>
      <c r="G451" s="21" t="n">
        <v>3</v>
      </c>
      <c r="H451" s="18">
        <f>IF(COUNT(E451:G451)&lt;3,"",ROUND(IF(OR(E451=1,F451=1),MIN('Les meg'!$C$25,E451*'Les meg'!$C$21+F451*'Les meg'!$C$22+G451*'Les meg'!$C$23),E451*'Les meg'!$C$21+F451*'Les meg'!$C$22+G451*'Les meg'!$C$23),1))</f>
        <v/>
      </c>
      <c r="I451" s="21" t="n">
        <v>29.7</v>
      </c>
      <c r="J451" s="21" t="n">
        <v>2</v>
      </c>
      <c r="K451" s="21" t="inlineStr">
        <is>
          <t>Varmere (30 °C); khamsin-sandstorm mulig.</t>
        </is>
      </c>
    </row>
    <row r="452">
      <c r="A452" s="21" t="inlineStr">
        <is>
          <t>EGY</t>
        </is>
      </c>
      <c r="B452" s="5">
        <f>IFERROR(INDEX(Destinasjoner!$E$5:$E$64,MATCH(A452,Destinasjoner!$A$5:$A$64,0)),"")</f>
        <v/>
      </c>
      <c r="C452" s="21" t="n">
        <v>4</v>
      </c>
      <c r="D452" s="5">
        <f>IF(C452="","",CHOOSE(C452,"jan","feb","mar","apr","mai","jun","jul","aug","sep","okt","nov","des"))</f>
        <v/>
      </c>
      <c r="E452" s="21" t="n">
        <v>3</v>
      </c>
      <c r="F452" s="21" t="n">
        <v>4</v>
      </c>
      <c r="G452" s="21" t="n">
        <v>4</v>
      </c>
      <c r="H452" s="18">
        <f>IF(COUNT(E452:G452)&lt;3,"",ROUND(IF(OR(E452=1,F452=1),MIN('Les meg'!$C$25,E452*'Les meg'!$C$21+F452*'Les meg'!$C$22+G452*'Les meg'!$C$23),E452*'Les meg'!$C$21+F452*'Les meg'!$C$22+G452*'Les meg'!$C$23),1))</f>
        <v/>
      </c>
      <c r="I452" s="21" t="n">
        <v>35</v>
      </c>
      <c r="J452" s="21" t="n">
        <v>0</v>
      </c>
      <c r="K452" s="21" t="inlineStr">
        <is>
          <t>Varmt (35 °C), khamsin.</t>
        </is>
      </c>
    </row>
    <row r="453">
      <c r="A453" s="21" t="inlineStr">
        <is>
          <t>EGY</t>
        </is>
      </c>
      <c r="B453" s="5">
        <f>IFERROR(INDEX(Destinasjoner!$E$5:$E$64,MATCH(A453,Destinasjoner!$A$5:$A$64,0)),"")</f>
        <v/>
      </c>
      <c r="C453" s="21" t="n">
        <v>5</v>
      </c>
      <c r="D453" s="5">
        <f>IF(C453="","",CHOOSE(C453,"jan","feb","mar","apr","mai","jun","jul","aug","sep","okt","nov","des"))</f>
        <v/>
      </c>
      <c r="E453" s="21" t="n">
        <v>2</v>
      </c>
      <c r="F453" s="21" t="n">
        <v>3</v>
      </c>
      <c r="G453" s="21" t="n">
        <v>5</v>
      </c>
      <c r="H453" s="18">
        <f>IF(COUNT(E453:G453)&lt;3,"",ROUND(IF(OR(E453=1,F453=1),MIN('Les meg'!$C$25,E453*'Les meg'!$C$21+F453*'Les meg'!$C$22+G453*'Les meg'!$C$23),E453*'Les meg'!$C$21+F453*'Les meg'!$C$22+G453*'Les meg'!$C$23),1))</f>
        <v/>
      </c>
      <c r="I453" s="21" t="n">
        <v>39.1</v>
      </c>
      <c r="J453" s="21" t="n">
        <v>1</v>
      </c>
      <c r="K453" s="21" t="inlineStr">
        <is>
          <t>Hett (39 °C).</t>
        </is>
      </c>
    </row>
    <row r="454">
      <c r="A454" s="21" t="inlineStr">
        <is>
          <t>EGY</t>
        </is>
      </c>
      <c r="B454" s="5">
        <f>IFERROR(INDEX(Destinasjoner!$E$5:$E$64,MATCH(A454,Destinasjoner!$A$5:$A$64,0)),"")</f>
        <v/>
      </c>
      <c r="C454" s="21" t="n">
        <v>6</v>
      </c>
      <c r="D454" s="5">
        <f>IF(C454="","",CHOOSE(C454,"jan","feb","mar","apr","mai","jun","jul","aug","sep","okt","nov","des"))</f>
        <v/>
      </c>
      <c r="E454" s="21" t="n">
        <v>1</v>
      </c>
      <c r="F454" s="21" t="n">
        <v>2</v>
      </c>
      <c r="G454" s="21" t="n">
        <v>5</v>
      </c>
      <c r="H454" s="18">
        <f>IF(COUNT(E454:G454)&lt;3,"",ROUND(IF(OR(E454=1,F454=1),MIN('Les meg'!$C$25,E454*'Les meg'!$C$21+F454*'Les meg'!$C$22+G454*'Les meg'!$C$23),E454*'Les meg'!$C$21+F454*'Les meg'!$C$22+G454*'Les meg'!$C$23),1))</f>
        <v/>
      </c>
      <c r="I454" s="21" t="n">
        <v>41.2</v>
      </c>
      <c r="J454" s="21" t="n">
        <v>0</v>
      </c>
      <c r="K454" s="21" t="inlineStr">
        <is>
          <t>Ekstrem hete i Luxor (41 °C).</t>
        </is>
      </c>
    </row>
    <row r="455">
      <c r="A455" s="21" t="inlineStr">
        <is>
          <t>EGY</t>
        </is>
      </c>
      <c r="B455" s="5">
        <f>IFERROR(INDEX(Destinasjoner!$E$5:$E$64,MATCH(A455,Destinasjoner!$A$5:$A$64,0)),"")</f>
        <v/>
      </c>
      <c r="C455" s="21" t="n">
        <v>7</v>
      </c>
      <c r="D455" s="5">
        <f>IF(C455="","",CHOOSE(C455,"jan","feb","mar","apr","mai","jun","jul","aug","sep","okt","nov","des"))</f>
        <v/>
      </c>
      <c r="E455" s="21" t="n">
        <v>1</v>
      </c>
      <c r="F455" s="21" t="n">
        <v>2</v>
      </c>
      <c r="G455" s="21" t="n">
        <v>5</v>
      </c>
      <c r="H455" s="18">
        <f>IF(COUNT(E455:G455)&lt;3,"",ROUND(IF(OR(E455=1,F455=1),MIN('Les meg'!$C$25,E455*'Les meg'!$C$21+F455*'Les meg'!$C$22+G455*'Les meg'!$C$23),E455*'Les meg'!$C$21+F455*'Les meg'!$C$22+G455*'Les meg'!$C$23),1))</f>
        <v/>
      </c>
      <c r="I455" s="21" t="n">
        <v>41.4</v>
      </c>
      <c r="J455" s="21" t="n">
        <v>0</v>
      </c>
      <c r="K455" s="21" t="inlineStr">
        <is>
          <t>Ekstrem hete.</t>
        </is>
      </c>
    </row>
    <row r="456">
      <c r="A456" s="21" t="inlineStr">
        <is>
          <t>EGY</t>
        </is>
      </c>
      <c r="B456" s="5">
        <f>IFERROR(INDEX(Destinasjoner!$E$5:$E$64,MATCH(A456,Destinasjoner!$A$5:$A$64,0)),"")</f>
        <v/>
      </c>
      <c r="C456" s="21" t="n">
        <v>8</v>
      </c>
      <c r="D456" s="5">
        <f>IF(C456="","",CHOOSE(C456,"jan","feb","mar","apr","mai","jun","jul","aug","sep","okt","nov","des"))</f>
        <v/>
      </c>
      <c r="E456" s="21" t="n">
        <v>1</v>
      </c>
      <c r="F456" s="21" t="n">
        <v>2</v>
      </c>
      <c r="G456" s="21" t="n">
        <v>5</v>
      </c>
      <c r="H456" s="18">
        <f>IF(COUNT(E456:G456)&lt;3,"",ROUND(IF(OR(E456=1,F456=1),MIN('Les meg'!$C$25,E456*'Les meg'!$C$21+F456*'Les meg'!$C$22+G456*'Les meg'!$C$23),E456*'Les meg'!$C$21+F456*'Les meg'!$C$22+G456*'Les meg'!$C$23),1))</f>
        <v/>
      </c>
      <c r="I456" s="21" t="n">
        <v>41.2</v>
      </c>
      <c r="J456" s="21" t="n">
        <v>0</v>
      </c>
      <c r="K456" s="21" t="inlineStr">
        <is>
          <t>Ekstrem hete.</t>
        </is>
      </c>
    </row>
    <row r="457">
      <c r="A457" s="21" t="inlineStr">
        <is>
          <t>EGY</t>
        </is>
      </c>
      <c r="B457" s="5">
        <f>IFERROR(INDEX(Destinasjoner!$E$5:$E$64,MATCH(A457,Destinasjoner!$A$5:$A$64,0)),"")</f>
        <v/>
      </c>
      <c r="C457" s="21" t="n">
        <v>9</v>
      </c>
      <c r="D457" s="5">
        <f>IF(C457="","",CHOOSE(C457,"jan","feb","mar","apr","mai","jun","jul","aug","sep","okt","nov","des"))</f>
        <v/>
      </c>
      <c r="E457" s="21" t="n">
        <v>2</v>
      </c>
      <c r="F457" s="21" t="n">
        <v>3</v>
      </c>
      <c r="G457" s="21" t="n">
        <v>5</v>
      </c>
      <c r="H457" s="18">
        <f>IF(COUNT(E457:G457)&lt;3,"",ROUND(IF(OR(E457=1,F457=1),MIN('Les meg'!$C$25,E457*'Les meg'!$C$21+F457*'Les meg'!$C$22+G457*'Les meg'!$C$23),E457*'Les meg'!$C$21+F457*'Les meg'!$C$22+G457*'Les meg'!$C$23),1))</f>
        <v/>
      </c>
      <c r="I457" s="21" t="n">
        <v>39.3</v>
      </c>
      <c r="J457" s="21" t="n">
        <v>1</v>
      </c>
      <c r="K457" s="21" t="inlineStr">
        <is>
          <t>Fortsatt hett (39 °C).</t>
        </is>
      </c>
    </row>
    <row r="458">
      <c r="A458" s="21" t="inlineStr">
        <is>
          <t>EGY</t>
        </is>
      </c>
      <c r="B458" s="5">
        <f>IFERROR(INDEX(Destinasjoner!$E$5:$E$64,MATCH(A458,Destinasjoner!$A$5:$A$64,0)),"")</f>
        <v/>
      </c>
      <c r="C458" s="21" t="n">
        <v>10</v>
      </c>
      <c r="D458" s="5">
        <f>IF(C458="","",CHOOSE(C458,"jan","feb","mar","apr","mai","jun","jul","aug","sep","okt","nov","des"))</f>
        <v/>
      </c>
      <c r="E458" s="21" t="n">
        <v>3</v>
      </c>
      <c r="F458" s="21" t="n">
        <v>4</v>
      </c>
      <c r="G458" s="21" t="n">
        <v>4</v>
      </c>
      <c r="H458" s="18">
        <f>IF(COUNT(E458:G458)&lt;3,"",ROUND(IF(OR(E458=1,F458=1),MIN('Les meg'!$C$25,E458*'Les meg'!$C$21+F458*'Les meg'!$C$22+G458*'Les meg'!$C$23),E458*'Les meg'!$C$21+F458*'Les meg'!$C$22+G458*'Les meg'!$C$23),1))</f>
        <v/>
      </c>
      <c r="I458" s="21" t="n">
        <v>35.5</v>
      </c>
      <c r="J458" s="21" t="n">
        <v>1</v>
      </c>
      <c r="K458" s="21" t="inlineStr">
        <is>
          <t>Varmt (36 °C); Abu Simbel-solfenomen 22.10.</t>
        </is>
      </c>
    </row>
    <row r="459">
      <c r="A459" s="21" t="inlineStr">
        <is>
          <t>EGY</t>
        </is>
      </c>
      <c r="B459" s="5">
        <f>IFERROR(INDEX(Destinasjoner!$E$5:$E$64,MATCH(A459,Destinasjoner!$A$5:$A$64,0)),"")</f>
        <v/>
      </c>
      <c r="C459" s="21" t="n">
        <v>11</v>
      </c>
      <c r="D459" s="5">
        <f>IF(C459="","",CHOOSE(C459,"jan","feb","mar","apr","mai","jun","jul","aug","sep","okt","nov","des"))</f>
        <v/>
      </c>
      <c r="E459" s="21" t="n">
        <v>5</v>
      </c>
      <c r="F459" s="21" t="n">
        <v>5</v>
      </c>
      <c r="G459" s="21" t="n">
        <v>3</v>
      </c>
      <c r="H459" s="18">
        <f>IF(COUNT(E459:G459)&lt;3,"",ROUND(IF(OR(E459=1,F459=1),MIN('Les meg'!$C$25,E459*'Les meg'!$C$21+F459*'Les meg'!$C$22+G459*'Les meg'!$C$23),E459*'Les meg'!$C$21+F459*'Les meg'!$C$22+G459*'Les meg'!$C$23),1))</f>
        <v/>
      </c>
      <c r="I459" s="21" t="n">
        <v>29.1</v>
      </c>
      <c r="J459" s="21" t="n">
        <v>1</v>
      </c>
      <c r="K459" s="21" t="inlineStr">
        <is>
          <t>Behagelig; sesongen starter.</t>
        </is>
      </c>
    </row>
    <row r="460">
      <c r="A460" s="21" t="inlineStr">
        <is>
          <t>EGY</t>
        </is>
      </c>
      <c r="B460" s="5">
        <f>IFERROR(INDEX(Destinasjoner!$E$5:$E$64,MATCH(A460,Destinasjoner!$A$5:$A$64,0)),"")</f>
        <v/>
      </c>
      <c r="C460" s="21" t="n">
        <v>12</v>
      </c>
      <c r="D460" s="5">
        <f>IF(C460="","",CHOOSE(C460,"jan","feb","mar","apr","mai","jun","jul","aug","sep","okt","nov","des"))</f>
        <v/>
      </c>
      <c r="E460" s="21" t="n">
        <v>5</v>
      </c>
      <c r="F460" s="21" t="n">
        <v>5</v>
      </c>
      <c r="G460" s="21" t="n">
        <v>1</v>
      </c>
      <c r="H460" s="18">
        <f>IF(COUNT(E460:G460)&lt;3,"",ROUND(IF(OR(E460=1,F460=1),MIN('Les meg'!$C$25,E460*'Les meg'!$C$21+F460*'Les meg'!$C$22+G460*'Les meg'!$C$23),E460*'Les meg'!$C$21+F460*'Les meg'!$C$22+G460*'Les meg'!$C$23),1))</f>
        <v/>
      </c>
      <c r="I460" s="21" t="n">
        <v>24.2</v>
      </c>
      <c r="J460" s="21" t="n">
        <v>0</v>
      </c>
      <c r="K460" s="21" t="inlineStr">
        <is>
          <t>Behagelig; jul/nyttår – dyrest.</t>
        </is>
      </c>
    </row>
    <row r="461">
      <c r="A461" s="21" t="inlineStr">
        <is>
          <t>BEN</t>
        </is>
      </c>
      <c r="B461" s="5">
        <f>IFERROR(INDEX(Destinasjoner!$E$5:$E$64,MATCH(A461,Destinasjoner!$A$5:$A$64,0)),"")</f>
        <v/>
      </c>
      <c r="C461" s="21" t="n">
        <v>1</v>
      </c>
      <c r="D461" s="5">
        <f>IF(C461="","",CHOOSE(C461,"jan","feb","mar","apr","mai","jun","jul","aug","sep","okt","nov","des"))</f>
        <v/>
      </c>
      <c r="E461" s="21" t="n">
        <v>3</v>
      </c>
      <c r="F461" s="21" t="n">
        <v>5</v>
      </c>
      <c r="G461" s="21" t="n">
        <v>3</v>
      </c>
      <c r="H461" s="18">
        <f>IF(COUNT(E461:G461)&lt;3,"",ROUND(IF(OR(E461=1,F461=1),MIN('Les meg'!$C$25,E461*'Les meg'!$C$21+F461*'Les meg'!$C$22+G461*'Les meg'!$C$23),E461*'Les meg'!$C$21+F461*'Les meg'!$C$22+G461*'Les meg'!$C$23),1))</f>
        <v/>
      </c>
      <c r="I461" s="21" t="n">
        <v>31.6</v>
      </c>
      <c r="J461" s="21" t="n">
        <v>19</v>
      </c>
      <c r="K461" s="21" t="inlineStr">
        <is>
          <t>Harmattan-dis. Vodun-festivalen i Ouidah (se Vinduer) er hovedgrunnen til å dra i januar.</t>
        </is>
      </c>
    </row>
    <row r="462">
      <c r="A462" s="21" t="inlineStr">
        <is>
          <t>BEN</t>
        </is>
      </c>
      <c r="B462" s="5">
        <f>IFERROR(INDEX(Destinasjoner!$E$5:$E$64,MATCH(A462,Destinasjoner!$A$5:$A$64,0)),"")</f>
        <v/>
      </c>
      <c r="C462" s="21" t="n">
        <v>2</v>
      </c>
      <c r="D462" s="5">
        <f>IF(C462="","",CHOOSE(C462,"jan","feb","mar","apr","mai","jun","jul","aug","sep","okt","nov","des"))</f>
        <v/>
      </c>
      <c r="E462" s="21" t="n">
        <v>3</v>
      </c>
      <c r="F462" s="21" t="n">
        <v>3</v>
      </c>
      <c r="G462" s="21" t="n">
        <v>4</v>
      </c>
      <c r="H462" s="18">
        <f>IF(COUNT(E462:G462)&lt;3,"",ROUND(IF(OR(E462=1,F462=1),MIN('Les meg'!$C$25,E462*'Les meg'!$C$21+F462*'Les meg'!$C$22+G462*'Les meg'!$C$23),E462*'Les meg'!$C$21+F462*'Les meg'!$C$22+G462*'Les meg'!$C$23),1))</f>
        <v/>
      </c>
      <c r="I462" s="21" t="n">
        <v>32.2</v>
      </c>
      <c r="J462" s="21" t="n">
        <v>38</v>
      </c>
      <c r="K462" s="21" t="inlineStr">
        <is>
          <t>Tørt og varmt, harmattan.</t>
        </is>
      </c>
    </row>
    <row r="463">
      <c r="A463" s="21" t="inlineStr">
        <is>
          <t>BEN</t>
        </is>
      </c>
      <c r="B463" s="5">
        <f>IFERROR(INDEX(Destinasjoner!$E$5:$E$64,MATCH(A463,Destinasjoner!$A$5:$A$64,0)),"")</f>
        <v/>
      </c>
      <c r="C463" s="21" t="n">
        <v>3</v>
      </c>
      <c r="D463" s="5">
        <f>IF(C463="","",CHOOSE(C463,"jan","feb","mar","apr","mai","jun","jul","aug","sep","okt","nov","des"))</f>
        <v/>
      </c>
      <c r="E463" s="21" t="n">
        <v>3</v>
      </c>
      <c r="F463" s="21" t="n">
        <v>3</v>
      </c>
      <c r="G463" s="21" t="n">
        <v>4</v>
      </c>
      <c r="H463" s="18">
        <f>IF(COUNT(E463:G463)&lt;3,"",ROUND(IF(OR(E463=1,F463=1),MIN('Les meg'!$C$25,E463*'Les meg'!$C$21+F463*'Les meg'!$C$22+G463*'Les meg'!$C$23),E463*'Les meg'!$C$21+F463*'Les meg'!$C$22+G463*'Les meg'!$C$23),1))</f>
        <v/>
      </c>
      <c r="I463" s="21" t="n">
        <v>32.3</v>
      </c>
      <c r="J463" s="21" t="n">
        <v>81</v>
      </c>
      <c r="K463" s="21" t="inlineStr">
        <is>
          <t>Hetest og fuktig.</t>
        </is>
      </c>
    </row>
    <row r="464">
      <c r="A464" s="21" t="inlineStr">
        <is>
          <t>BEN</t>
        </is>
      </c>
      <c r="B464" s="5">
        <f>IFERROR(INDEX(Destinasjoner!$E$5:$E$64,MATCH(A464,Destinasjoner!$A$5:$A$64,0)),"")</f>
        <v/>
      </c>
      <c r="C464" s="21" t="n">
        <v>4</v>
      </c>
      <c r="D464" s="5">
        <f>IF(C464="","",CHOOSE(C464,"jan","feb","mar","apr","mai","jun","jul","aug","sep","okt","nov","des"))</f>
        <v/>
      </c>
      <c r="E464" s="21" t="n">
        <v>3</v>
      </c>
      <c r="F464" s="21" t="n">
        <v>3</v>
      </c>
      <c r="G464" s="21" t="n">
        <v>4</v>
      </c>
      <c r="H464" s="18">
        <f>IF(COUNT(E464:G464)&lt;3,"",ROUND(IF(OR(E464=1,F464=1),MIN('Les meg'!$C$25,E464*'Les meg'!$C$21+F464*'Les meg'!$C$22+G464*'Les meg'!$C$23),E464*'Les meg'!$C$21+F464*'Les meg'!$C$22+G464*'Les meg'!$C$23),1))</f>
        <v/>
      </c>
      <c r="I464" s="21" t="n">
        <v>32</v>
      </c>
      <c r="J464" s="21" t="n">
        <v>126</v>
      </c>
      <c r="K464" s="21" t="inlineStr">
        <is>
          <t>Regntiden starter.</t>
        </is>
      </c>
    </row>
    <row r="465">
      <c r="A465" s="21" t="inlineStr">
        <is>
          <t>BEN</t>
        </is>
      </c>
      <c r="B465" s="5">
        <f>IFERROR(INDEX(Destinasjoner!$E$5:$E$64,MATCH(A465,Destinasjoner!$A$5:$A$64,0)),"")</f>
        <v/>
      </c>
      <c r="C465" s="21" t="n">
        <v>5</v>
      </c>
      <c r="D465" s="5">
        <f>IF(C465="","",CHOOSE(C465,"jan","feb","mar","apr","mai","jun","jul","aug","sep","okt","nov","des"))</f>
        <v/>
      </c>
      <c r="E465" s="21" t="n">
        <v>2</v>
      </c>
      <c r="F465" s="21" t="n">
        <v>2</v>
      </c>
      <c r="G465" s="21" t="n">
        <v>5</v>
      </c>
      <c r="H465" s="18">
        <f>IF(COUNT(E465:G465)&lt;3,"",ROUND(IF(OR(E465=1,F465=1),MIN('Les meg'!$C$25,E465*'Les meg'!$C$21+F465*'Les meg'!$C$22+G465*'Les meg'!$C$23),E465*'Les meg'!$C$21+F465*'Les meg'!$C$22+G465*'Les meg'!$C$23),1))</f>
        <v/>
      </c>
      <c r="I465" s="21" t="n">
        <v>31.3</v>
      </c>
      <c r="J465" s="21" t="n">
        <v>213</v>
      </c>
      <c r="K465" s="21" t="inlineStr">
        <is>
          <t>Regntid.</t>
        </is>
      </c>
    </row>
    <row r="466">
      <c r="A466" s="21" t="inlineStr">
        <is>
          <t>BEN</t>
        </is>
      </c>
      <c r="B466" s="5">
        <f>IFERROR(INDEX(Destinasjoner!$E$5:$E$64,MATCH(A466,Destinasjoner!$A$5:$A$64,0)),"")</f>
        <v/>
      </c>
      <c r="C466" s="21" t="n">
        <v>6</v>
      </c>
      <c r="D466" s="5">
        <f>IF(C466="","",CHOOSE(C466,"jan","feb","mar","apr","mai","jun","jul","aug","sep","okt","nov","des"))</f>
        <v/>
      </c>
      <c r="E466" s="21" t="n">
        <v>2</v>
      </c>
      <c r="F466" s="21" t="n">
        <v>2</v>
      </c>
      <c r="G466" s="21" t="n">
        <v>5</v>
      </c>
      <c r="H466" s="18">
        <f>IF(COUNT(E466:G466)&lt;3,"",ROUND(IF(OR(E466=1,F466=1),MIN('Les meg'!$C$25,E466*'Les meg'!$C$21+F466*'Les meg'!$C$22+G466*'Les meg'!$C$23),E466*'Les meg'!$C$21+F466*'Les meg'!$C$22+G466*'Les meg'!$C$23),1))</f>
        <v/>
      </c>
      <c r="I466" s="21" t="n">
        <v>29.6</v>
      </c>
      <c r="J466" s="21" t="n">
        <v>333</v>
      </c>
      <c r="K466" s="21" t="inlineStr">
        <is>
          <t>Mest regn.</t>
        </is>
      </c>
    </row>
    <row r="467">
      <c r="A467" s="21" t="inlineStr">
        <is>
          <t>BEN</t>
        </is>
      </c>
      <c r="B467" s="5">
        <f>IFERROR(INDEX(Destinasjoner!$E$5:$E$64,MATCH(A467,Destinasjoner!$A$5:$A$64,0)),"")</f>
        <v/>
      </c>
      <c r="C467" s="21" t="n">
        <v>7</v>
      </c>
      <c r="D467" s="5">
        <f>IF(C467="","",CHOOSE(C467,"jan","feb","mar","apr","mai","jun","jul","aug","sep","okt","nov","des"))</f>
        <v/>
      </c>
      <c r="E467" s="21" t="n">
        <v>3</v>
      </c>
      <c r="F467" s="21" t="n">
        <v>3</v>
      </c>
      <c r="G467" s="21" t="n">
        <v>4</v>
      </c>
      <c r="H467" s="18">
        <f>IF(COUNT(E467:G467)&lt;3,"",ROUND(IF(OR(E467=1,F467=1),MIN('Les meg'!$C$25,E467*'Les meg'!$C$21+F467*'Les meg'!$C$22+G467*'Les meg'!$C$23),E467*'Les meg'!$C$21+F467*'Les meg'!$C$22+G467*'Les meg'!$C$23),1))</f>
        <v/>
      </c>
      <c r="I467" s="21" t="n">
        <v>28.5</v>
      </c>
      <c r="J467" s="21" t="n">
        <v>135</v>
      </c>
      <c r="K467" s="21" t="inlineStr">
        <is>
          <t>Regnet avtar.</t>
        </is>
      </c>
    </row>
    <row r="468">
      <c r="A468" s="21" t="inlineStr">
        <is>
          <t>BEN</t>
        </is>
      </c>
      <c r="B468" s="5">
        <f>IFERROR(INDEX(Destinasjoner!$E$5:$E$64,MATCH(A468,Destinasjoner!$A$5:$A$64,0)),"")</f>
        <v/>
      </c>
      <c r="C468" s="21" t="n">
        <v>8</v>
      </c>
      <c r="D468" s="5">
        <f>IF(C468="","",CHOOSE(C468,"jan","feb","mar","apr","mai","jun","jul","aug","sep","okt","nov","des"))</f>
        <v/>
      </c>
      <c r="E468" s="21" t="n">
        <v>4</v>
      </c>
      <c r="F468" s="21" t="n">
        <v>3</v>
      </c>
      <c r="G468" s="21" t="n">
        <v>4</v>
      </c>
      <c r="H468" s="18">
        <f>IF(COUNT(E468:G468)&lt;3,"",ROUND(IF(OR(E468=1,F468=1),MIN('Les meg'!$C$25,E468*'Les meg'!$C$21+F468*'Les meg'!$C$22+G468*'Les meg'!$C$23),E468*'Les meg'!$C$21+F468*'Les meg'!$C$22+G468*'Les meg'!$C$23),1))</f>
        <v/>
      </c>
      <c r="I468" s="21" t="n">
        <v>28.2</v>
      </c>
      <c r="J468" s="21" t="n">
        <v>39</v>
      </c>
      <c r="K468" s="21" t="inlineStr">
        <is>
          <t>Kort tørrperiode, kjøligst, ofte overskyet.</t>
        </is>
      </c>
    </row>
    <row r="469">
      <c r="A469" s="21" t="inlineStr">
        <is>
          <t>BEN</t>
        </is>
      </c>
      <c r="B469" s="5">
        <f>IFERROR(INDEX(Destinasjoner!$E$5:$E$64,MATCH(A469,Destinasjoner!$A$5:$A$64,0)),"")</f>
        <v/>
      </c>
      <c r="C469" s="21" t="n">
        <v>9</v>
      </c>
      <c r="D469" s="5">
        <f>IF(C469="","",CHOOSE(C469,"jan","feb","mar","apr","mai","jun","jul","aug","sep","okt","nov","des"))</f>
        <v/>
      </c>
      <c r="E469" s="21" t="n">
        <v>3</v>
      </c>
      <c r="F469" s="21" t="n">
        <v>3</v>
      </c>
      <c r="G469" s="21" t="n">
        <v>4</v>
      </c>
      <c r="H469" s="18">
        <f>IF(COUNT(E469:G469)&lt;3,"",ROUND(IF(OR(E469=1,F469=1),MIN('Les meg'!$C$25,E469*'Les meg'!$C$21+F469*'Les meg'!$C$22+G469*'Les meg'!$C$23),E469*'Les meg'!$C$21+F469*'Les meg'!$C$22+G469*'Les meg'!$C$23),1))</f>
        <v/>
      </c>
      <c r="I469" s="21" t="n">
        <v>29</v>
      </c>
      <c r="J469" s="21" t="n">
        <v>135</v>
      </c>
      <c r="K469" s="21" t="inlineStr">
        <is>
          <t>Liten regntid.</t>
        </is>
      </c>
    </row>
    <row r="470">
      <c r="A470" s="21" t="inlineStr">
        <is>
          <t>BEN</t>
        </is>
      </c>
      <c r="B470" s="5">
        <f>IFERROR(INDEX(Destinasjoner!$E$5:$E$64,MATCH(A470,Destinasjoner!$A$5:$A$64,0)),"")</f>
        <v/>
      </c>
      <c r="C470" s="21" t="n">
        <v>10</v>
      </c>
      <c r="D470" s="5">
        <f>IF(C470="","",CHOOSE(C470,"jan","feb","mar","apr","mai","jun","jul","aug","sep","okt","nov","des"))</f>
        <v/>
      </c>
      <c r="E470" s="21" t="n">
        <v>3</v>
      </c>
      <c r="F470" s="21" t="n">
        <v>3</v>
      </c>
      <c r="G470" s="21" t="n">
        <v>4</v>
      </c>
      <c r="H470" s="18">
        <f>IF(COUNT(E470:G470)&lt;3,"",ROUND(IF(OR(E470=1,F470=1),MIN('Les meg'!$C$25,E470*'Les meg'!$C$21+F470*'Les meg'!$C$22+G470*'Les meg'!$C$23),E470*'Les meg'!$C$21+F470*'Les meg'!$C$22+G470*'Les meg'!$C$23),1))</f>
        <v/>
      </c>
      <c r="I470" s="21" t="n">
        <v>30.1</v>
      </c>
      <c r="J470" s="21" t="n">
        <v>165</v>
      </c>
      <c r="K470" s="21" t="inlineStr">
        <is>
          <t>Liten regntid.</t>
        </is>
      </c>
    </row>
    <row r="471">
      <c r="A471" s="21" t="inlineStr">
        <is>
          <t>BEN</t>
        </is>
      </c>
      <c r="B471" s="5">
        <f>IFERROR(INDEX(Destinasjoner!$E$5:$E$64,MATCH(A471,Destinasjoner!$A$5:$A$64,0)),"")</f>
        <v/>
      </c>
      <c r="C471" s="21" t="n">
        <v>11</v>
      </c>
      <c r="D471" s="5">
        <f>IF(C471="","",CHOOSE(C471,"jan","feb","mar","apr","mai","jun","jul","aug","sep","okt","nov","des"))</f>
        <v/>
      </c>
      <c r="E471" s="21" t="n">
        <v>5</v>
      </c>
      <c r="F471" s="21" t="n">
        <v>4</v>
      </c>
      <c r="G471" s="21" t="n">
        <v>4</v>
      </c>
      <c r="H471" s="18">
        <f>IF(COUNT(E471:G471)&lt;3,"",ROUND(IF(OR(E471=1,F471=1),MIN('Les meg'!$C$25,E471*'Les meg'!$C$21+F471*'Les meg'!$C$22+G471*'Les meg'!$C$23),E471*'Les meg'!$C$21+F471*'Les meg'!$C$22+G471*'Les meg'!$C$23),1))</f>
        <v/>
      </c>
      <c r="I471" s="21" t="n">
        <v>31.6</v>
      </c>
      <c r="J471" s="21" t="n">
        <v>44</v>
      </c>
      <c r="K471" s="21" t="inlineStr">
        <is>
          <t>Beste klima: tørt og klart etter regntiden, før harmattan.</t>
        </is>
      </c>
    </row>
    <row r="472">
      <c r="A472" s="21" t="inlineStr">
        <is>
          <t>BEN</t>
        </is>
      </c>
      <c r="B472" s="5">
        <f>IFERROR(INDEX(Destinasjoner!$E$5:$E$64,MATCH(A472,Destinasjoner!$A$5:$A$64,0)),"")</f>
        <v/>
      </c>
      <c r="C472" s="21" t="n">
        <v>12</v>
      </c>
      <c r="D472" s="5">
        <f>IF(C472="","",CHOOSE(C472,"jan","feb","mar","apr","mai","jun","jul","aug","sep","okt","nov","des"))</f>
        <v/>
      </c>
      <c r="E472" s="21" t="n">
        <v>4</v>
      </c>
      <c r="F472" s="21" t="n">
        <v>4</v>
      </c>
      <c r="G472" s="21" t="n">
        <v>4</v>
      </c>
      <c r="H472" s="18">
        <f>IF(COUNT(E472:G472)&lt;3,"",ROUND(IF(OR(E472=1,F472=1),MIN('Les meg'!$C$25,E472*'Les meg'!$C$21+F472*'Les meg'!$C$22+G472*'Les meg'!$C$23),E472*'Les meg'!$C$21+F472*'Les meg'!$C$22+G472*'Les meg'!$C$23),1))</f>
        <v/>
      </c>
      <c r="I472" s="21" t="n">
        <v>31.9</v>
      </c>
      <c r="J472" s="21" t="n">
        <v>12</v>
      </c>
      <c r="K472" s="21" t="inlineStr">
        <is>
          <t>Tørt, harmattan starter; god tid for Pendjari i nord.</t>
        </is>
      </c>
    </row>
    <row r="473">
      <c r="A473" s="21" t="inlineStr">
        <is>
          <t>TGO</t>
        </is>
      </c>
      <c r="B473" s="5">
        <f>IFERROR(INDEX(Destinasjoner!$E$5:$E$64,MATCH(A473,Destinasjoner!$A$5:$A$64,0)),"")</f>
        <v/>
      </c>
      <c r="C473" s="21" t="n">
        <v>1</v>
      </c>
      <c r="D473" s="5">
        <f>IF(C473="","",CHOOSE(C473,"jan","feb","mar","apr","mai","jun","jul","aug","sep","okt","nov","des"))</f>
        <v/>
      </c>
      <c r="E473" s="21" t="n">
        <v>3</v>
      </c>
      <c r="F473" s="21" t="n">
        <v>4</v>
      </c>
      <c r="G473" s="21" t="n">
        <v>4</v>
      </c>
      <c r="H473" s="18">
        <f>IF(COUNT(E473:G473)&lt;3,"",ROUND(IF(OR(E473=1,F473=1),MIN('Les meg'!$C$25,E473*'Les meg'!$C$21+F473*'Les meg'!$C$22+G473*'Les meg'!$C$23),E473*'Les meg'!$C$21+F473*'Les meg'!$C$22+G473*'Les meg'!$C$23),1))</f>
        <v/>
      </c>
      <c r="I473" s="21" t="n">
        <v>32.8</v>
      </c>
      <c r="J473" s="21" t="n">
        <v>13</v>
      </c>
      <c r="K473" s="21" t="inlineStr">
        <is>
          <t>Harmattan-dis. Kan kombineres med Vodun-festivalen i Ouidah (Benin).</t>
        </is>
      </c>
    </row>
    <row r="474">
      <c r="A474" s="21" t="inlineStr">
        <is>
          <t>TGO</t>
        </is>
      </c>
      <c r="B474" s="5">
        <f>IFERROR(INDEX(Destinasjoner!$E$5:$E$64,MATCH(A474,Destinasjoner!$A$5:$A$64,0)),"")</f>
        <v/>
      </c>
      <c r="C474" s="21" t="n">
        <v>2</v>
      </c>
      <c r="D474" s="5">
        <f>IF(C474="","",CHOOSE(C474,"jan","feb","mar","apr","mai","jun","jul","aug","sep","okt","nov","des"))</f>
        <v/>
      </c>
      <c r="E474" s="21" t="n">
        <v>3</v>
      </c>
      <c r="F474" s="21" t="n">
        <v>3</v>
      </c>
      <c r="G474" s="21" t="n">
        <v>4</v>
      </c>
      <c r="H474" s="18">
        <f>IF(COUNT(E474:G474)&lt;3,"",ROUND(IF(OR(E474=1,F474=1),MIN('Les meg'!$C$25,E474*'Les meg'!$C$21+F474*'Les meg'!$C$22+G474*'Les meg'!$C$23),E474*'Les meg'!$C$21+F474*'Les meg'!$C$22+G474*'Les meg'!$C$23),1))</f>
        <v/>
      </c>
      <c r="I474" s="21" t="n">
        <v>33.5</v>
      </c>
      <c r="J474" s="21" t="n">
        <v>16</v>
      </c>
      <c r="K474" s="21" t="inlineStr">
        <is>
          <t>Tørt og varmt, harmattan.</t>
        </is>
      </c>
    </row>
    <row r="475">
      <c r="A475" s="21" t="inlineStr">
        <is>
          <t>TGO</t>
        </is>
      </c>
      <c r="B475" s="5">
        <f>IFERROR(INDEX(Destinasjoner!$E$5:$E$64,MATCH(A475,Destinasjoner!$A$5:$A$64,0)),"")</f>
        <v/>
      </c>
      <c r="C475" s="21" t="n">
        <v>3</v>
      </c>
      <c r="D475" s="5">
        <f>IF(C475="","",CHOOSE(C475,"jan","feb","mar","apr","mai","jun","jul","aug","sep","okt","nov","des"))</f>
        <v/>
      </c>
      <c r="E475" s="21" t="n">
        <v>3</v>
      </c>
      <c r="F475" s="21" t="n">
        <v>3</v>
      </c>
      <c r="G475" s="21" t="n">
        <v>4</v>
      </c>
      <c r="H475" s="18">
        <f>IF(COUNT(E475:G475)&lt;3,"",ROUND(IF(OR(E475=1,F475=1),MIN('Les meg'!$C$25,E475*'Les meg'!$C$21+F475*'Les meg'!$C$22+G475*'Les meg'!$C$23),E475*'Les meg'!$C$21+F475*'Les meg'!$C$22+G475*'Les meg'!$C$23),1))</f>
        <v/>
      </c>
      <c r="I475" s="21" t="n">
        <v>33.4</v>
      </c>
      <c r="J475" s="21" t="n">
        <v>67</v>
      </c>
      <c r="K475" s="21" t="inlineStr">
        <is>
          <t>Hetest og fuktig.</t>
        </is>
      </c>
    </row>
    <row r="476">
      <c r="A476" s="21" t="inlineStr">
        <is>
          <t>TGO</t>
        </is>
      </c>
      <c r="B476" s="5">
        <f>IFERROR(INDEX(Destinasjoner!$E$5:$E$64,MATCH(A476,Destinasjoner!$A$5:$A$64,0)),"")</f>
        <v/>
      </c>
      <c r="C476" s="21" t="n">
        <v>4</v>
      </c>
      <c r="D476" s="5">
        <f>IF(C476="","",CHOOSE(C476,"jan","feb","mar","apr","mai","jun","jul","aug","sep","okt","nov","des"))</f>
        <v/>
      </c>
      <c r="E476" s="21" t="n">
        <v>3</v>
      </c>
      <c r="F476" s="21" t="n">
        <v>3</v>
      </c>
      <c r="G476" s="21" t="n">
        <v>4</v>
      </c>
      <c r="H476" s="18">
        <f>IF(COUNT(E476:G476)&lt;3,"",ROUND(IF(OR(E476=1,F476=1),MIN('Les meg'!$C$25,E476*'Les meg'!$C$21+F476*'Les meg'!$C$22+G476*'Les meg'!$C$23),E476*'Les meg'!$C$21+F476*'Les meg'!$C$22+G476*'Les meg'!$C$23),1))</f>
        <v/>
      </c>
      <c r="I476" s="21" t="n">
        <v>33.1</v>
      </c>
      <c r="J476" s="21" t="n">
        <v>97</v>
      </c>
      <c r="K476" s="21" t="inlineStr">
        <is>
          <t>Regntiden starter.</t>
        </is>
      </c>
    </row>
    <row r="477">
      <c r="A477" s="21" t="inlineStr">
        <is>
          <t>TGO</t>
        </is>
      </c>
      <c r="B477" s="5">
        <f>IFERROR(INDEX(Destinasjoner!$E$5:$E$64,MATCH(A477,Destinasjoner!$A$5:$A$64,0)),"")</f>
        <v/>
      </c>
      <c r="C477" s="21" t="n">
        <v>5</v>
      </c>
      <c r="D477" s="5">
        <f>IF(C477="","",CHOOSE(C477,"jan","feb","mar","apr","mai","jun","jul","aug","sep","okt","nov","des"))</f>
        <v/>
      </c>
      <c r="E477" s="21" t="n">
        <v>2</v>
      </c>
      <c r="F477" s="21" t="n">
        <v>2</v>
      </c>
      <c r="G477" s="21" t="n">
        <v>5</v>
      </c>
      <c r="H477" s="18">
        <f>IF(COUNT(E477:G477)&lt;3,"",ROUND(IF(OR(E477=1,F477=1),MIN('Les meg'!$C$25,E477*'Les meg'!$C$21+F477*'Les meg'!$C$22+G477*'Les meg'!$C$23),E477*'Les meg'!$C$21+F477*'Les meg'!$C$22+G477*'Les meg'!$C$23),1))</f>
        <v/>
      </c>
      <c r="I477" s="21" t="n">
        <v>32.4</v>
      </c>
      <c r="J477" s="21" t="n">
        <v>149</v>
      </c>
      <c r="K477" s="21" t="inlineStr">
        <is>
          <t>Regntid.</t>
        </is>
      </c>
    </row>
    <row r="478">
      <c r="A478" s="21" t="inlineStr">
        <is>
          <t>TGO</t>
        </is>
      </c>
      <c r="B478" s="5">
        <f>IFERROR(INDEX(Destinasjoner!$E$5:$E$64,MATCH(A478,Destinasjoner!$A$5:$A$64,0)),"")</f>
        <v/>
      </c>
      <c r="C478" s="21" t="n">
        <v>6</v>
      </c>
      <c r="D478" s="5">
        <f>IF(C478="","",CHOOSE(C478,"jan","feb","mar","apr","mai","jun","jul","aug","sep","okt","nov","des"))</f>
        <v/>
      </c>
      <c r="E478" s="21" t="n">
        <v>2</v>
      </c>
      <c r="F478" s="21" t="n">
        <v>2</v>
      </c>
      <c r="G478" s="21" t="n">
        <v>5</v>
      </c>
      <c r="H478" s="18">
        <f>IF(COUNT(E478:G478)&lt;3,"",ROUND(IF(OR(E478=1,F478=1),MIN('Les meg'!$C$25,E478*'Les meg'!$C$21+F478*'Les meg'!$C$22+G478*'Les meg'!$C$23),E478*'Les meg'!$C$21+F478*'Les meg'!$C$22+G478*'Les meg'!$C$23),1))</f>
        <v/>
      </c>
      <c r="I478" s="21" t="n">
        <v>30.6</v>
      </c>
      <c r="J478" s="21" t="n">
        <v>181</v>
      </c>
      <c r="K478" s="21" t="inlineStr">
        <is>
          <t>Mest regn.</t>
        </is>
      </c>
    </row>
    <row r="479">
      <c r="A479" s="21" t="inlineStr">
        <is>
          <t>TGO</t>
        </is>
      </c>
      <c r="B479" s="5">
        <f>IFERROR(INDEX(Destinasjoner!$E$5:$E$64,MATCH(A479,Destinasjoner!$A$5:$A$64,0)),"")</f>
        <v/>
      </c>
      <c r="C479" s="21" t="n">
        <v>7</v>
      </c>
      <c r="D479" s="5">
        <f>IF(C479="","",CHOOSE(C479,"jan","feb","mar","apr","mai","jun","jul","aug","sep","okt","nov","des"))</f>
        <v/>
      </c>
      <c r="E479" s="21" t="n">
        <v>3</v>
      </c>
      <c r="F479" s="21" t="n">
        <v>4</v>
      </c>
      <c r="G479" s="21" t="n">
        <v>4</v>
      </c>
      <c r="H479" s="18">
        <f>IF(COUNT(E479:G479)&lt;3,"",ROUND(IF(OR(E479=1,F479=1),MIN('Les meg'!$C$25,E479*'Les meg'!$C$21+F479*'Les meg'!$C$22+G479*'Les meg'!$C$23),E479*'Les meg'!$C$21+F479*'Les meg'!$C$22+G479*'Les meg'!$C$23),1))</f>
        <v/>
      </c>
      <c r="I479" s="21" t="n">
        <v>29.3</v>
      </c>
      <c r="J479" s="21" t="n">
        <v>74</v>
      </c>
      <c r="K479" s="21" t="inlineStr">
        <is>
          <t>Evala-bryting i Kara (se Vinduer).</t>
        </is>
      </c>
    </row>
    <row r="480">
      <c r="A480" s="21" t="inlineStr">
        <is>
          <t>TGO</t>
        </is>
      </c>
      <c r="B480" s="5">
        <f>IFERROR(INDEX(Destinasjoner!$E$5:$E$64,MATCH(A480,Destinasjoner!$A$5:$A$64,0)),"")</f>
        <v/>
      </c>
      <c r="C480" s="21" t="n">
        <v>8</v>
      </c>
      <c r="D480" s="5">
        <f>IF(C480="","",CHOOSE(C480,"jan","feb","mar","apr","mai","jun","jul","aug","sep","okt","nov","des"))</f>
        <v/>
      </c>
      <c r="E480" s="21" t="n">
        <v>4</v>
      </c>
      <c r="F480" s="21" t="n">
        <v>3</v>
      </c>
      <c r="G480" s="21" t="n">
        <v>4</v>
      </c>
      <c r="H480" s="18">
        <f>IF(COUNT(E480:G480)&lt;3,"",ROUND(IF(OR(E480=1,F480=1),MIN('Les meg'!$C$25,E480*'Les meg'!$C$21+F480*'Les meg'!$C$22+G480*'Les meg'!$C$23),E480*'Les meg'!$C$21+F480*'Les meg'!$C$22+G480*'Les meg'!$C$23),1))</f>
        <v/>
      </c>
      <c r="I480" s="21" t="n">
        <v>28.9</v>
      </c>
      <c r="J480" s="21" t="n">
        <v>30</v>
      </c>
      <c r="K480" s="21" t="inlineStr">
        <is>
          <t>Tørrere og kjøligere, ofte overskyet.</t>
        </is>
      </c>
    </row>
    <row r="481">
      <c r="A481" s="21" t="inlineStr">
        <is>
          <t>TGO</t>
        </is>
      </c>
      <c r="B481" s="5">
        <f>IFERROR(INDEX(Destinasjoner!$E$5:$E$64,MATCH(A481,Destinasjoner!$A$5:$A$64,0)),"")</f>
        <v/>
      </c>
      <c r="C481" s="21" t="n">
        <v>9</v>
      </c>
      <c r="D481" s="5">
        <f>IF(C481="","",CHOOSE(C481,"jan","feb","mar","apr","mai","jun","jul","aug","sep","okt","nov","des"))</f>
        <v/>
      </c>
      <c r="E481" s="21" t="n">
        <v>3</v>
      </c>
      <c r="F481" s="21" t="n">
        <v>3</v>
      </c>
      <c r="G481" s="21" t="n">
        <v>4</v>
      </c>
      <c r="H481" s="18">
        <f>IF(COUNT(E481:G481)&lt;3,"",ROUND(IF(OR(E481=1,F481=1),MIN('Les meg'!$C$25,E481*'Les meg'!$C$21+F481*'Les meg'!$C$22+G481*'Les meg'!$C$23),E481*'Les meg'!$C$21+F481*'Les meg'!$C$22+G481*'Les meg'!$C$23),1))</f>
        <v/>
      </c>
      <c r="I481" s="21" t="n">
        <v>29.9</v>
      </c>
      <c r="J481" s="21" t="n">
        <v>72</v>
      </c>
      <c r="K481" s="21" t="inlineStr">
        <is>
          <t>Liten regntid.</t>
        </is>
      </c>
    </row>
    <row r="482">
      <c r="A482" s="21" t="inlineStr">
        <is>
          <t>TGO</t>
        </is>
      </c>
      <c r="B482" s="5">
        <f>IFERROR(INDEX(Destinasjoner!$E$5:$E$64,MATCH(A482,Destinasjoner!$A$5:$A$64,0)),"")</f>
        <v/>
      </c>
      <c r="C482" s="21" t="n">
        <v>10</v>
      </c>
      <c r="D482" s="5">
        <f>IF(C482="","",CHOOSE(C482,"jan","feb","mar","apr","mai","jun","jul","aug","sep","okt","nov","des"))</f>
        <v/>
      </c>
      <c r="E482" s="21" t="n">
        <v>3</v>
      </c>
      <c r="F482" s="21" t="n">
        <v>3</v>
      </c>
      <c r="G482" s="21" t="n">
        <v>4</v>
      </c>
      <c r="H482" s="18">
        <f>IF(COUNT(E482:G482)&lt;3,"",ROUND(IF(OR(E482=1,F482=1),MIN('Les meg'!$C$25,E482*'Les meg'!$C$21+F482*'Les meg'!$C$22+G482*'Les meg'!$C$23),E482*'Les meg'!$C$21+F482*'Les meg'!$C$22+G482*'Les meg'!$C$23),1))</f>
        <v/>
      </c>
      <c r="I482" s="21" t="n">
        <v>31.4</v>
      </c>
      <c r="J482" s="21" t="n">
        <v>102</v>
      </c>
      <c r="K482" s="21" t="inlineStr">
        <is>
          <t>Liten regntid.</t>
        </is>
      </c>
    </row>
    <row r="483">
      <c r="A483" s="21" t="inlineStr">
        <is>
          <t>TGO</t>
        </is>
      </c>
      <c r="B483" s="5">
        <f>IFERROR(INDEX(Destinasjoner!$E$5:$E$64,MATCH(A483,Destinasjoner!$A$5:$A$64,0)),"")</f>
        <v/>
      </c>
      <c r="C483" s="21" t="n">
        <v>11</v>
      </c>
      <c r="D483" s="5">
        <f>IF(C483="","",CHOOSE(C483,"jan","feb","mar","apr","mai","jun","jul","aug","sep","okt","nov","des"))</f>
        <v/>
      </c>
      <c r="E483" s="21" t="n">
        <v>5</v>
      </c>
      <c r="F483" s="21" t="n">
        <v>4</v>
      </c>
      <c r="G483" s="21" t="n">
        <v>4</v>
      </c>
      <c r="H483" s="18">
        <f>IF(COUNT(E483:G483)&lt;3,"",ROUND(IF(OR(E483=1,F483=1),MIN('Les meg'!$C$25,E483*'Les meg'!$C$21+F483*'Les meg'!$C$22+G483*'Les meg'!$C$23),E483*'Les meg'!$C$21+F483*'Les meg'!$C$22+G483*'Les meg'!$C$23),1))</f>
        <v/>
      </c>
      <c r="I483" s="21" t="n">
        <v>32.9</v>
      </c>
      <c r="J483" s="21" t="n">
        <v>20</v>
      </c>
      <c r="K483" s="21" t="inlineStr">
        <is>
          <t>Beste klima: tørt og klart etter regntiden, før harmattan.</t>
        </is>
      </c>
    </row>
    <row r="484">
      <c r="A484" s="21" t="inlineStr">
        <is>
          <t>TGO</t>
        </is>
      </c>
      <c r="B484" s="5">
        <f>IFERROR(INDEX(Destinasjoner!$E$5:$E$64,MATCH(A484,Destinasjoner!$A$5:$A$64,0)),"")</f>
        <v/>
      </c>
      <c r="C484" s="21" t="n">
        <v>12</v>
      </c>
      <c r="D484" s="5">
        <f>IF(C484="","",CHOOSE(C484,"jan","feb","mar","apr","mai","jun","jul","aug","sep","okt","nov","des"))</f>
        <v/>
      </c>
      <c r="E484" s="21" t="n">
        <v>4</v>
      </c>
      <c r="F484" s="21" t="n">
        <v>4</v>
      </c>
      <c r="G484" s="21" t="n">
        <v>4</v>
      </c>
      <c r="H484" s="18">
        <f>IF(COUNT(E484:G484)&lt;3,"",ROUND(IF(OR(E484=1,F484=1),MIN('Les meg'!$C$25,E484*'Les meg'!$C$21+F484*'Les meg'!$C$22+G484*'Les meg'!$C$23),E484*'Les meg'!$C$21+F484*'Les meg'!$C$22+G484*'Les meg'!$C$23),1))</f>
        <v/>
      </c>
      <c r="I484" s="21" t="n">
        <v>33.2</v>
      </c>
      <c r="J484" s="21" t="n">
        <v>8</v>
      </c>
      <c r="K484" s="21" t="inlineStr">
        <is>
          <t>Tørt, harmattan starter.</t>
        </is>
      </c>
    </row>
  </sheetData>
  <autoFilter ref="A4:K484"/>
  <conditionalFormatting sqref="E5:H2000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dataValidations count="1">
    <dataValidation sqref="E5:G20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8" customWidth="1" min="4" max="4"/>
    <col width="12" customWidth="1" min="5" max="5"/>
    <col width="12" customWidth="1" min="6" max="6"/>
    <col width="8" customWidth="1" min="7" max="7"/>
    <col width="80" customWidth="1" min="8" max="8"/>
  </cols>
  <sheetData>
    <row r="1">
      <c r="A1" s="2" t="inlineStr">
        <is>
          <t>Vinduer (ukesavgrensede justeringer)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Fra &gt; Til = går over nyttår. «Kun år» tom = gjelder hvert år (for bevegelige høytider: én rad per år).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20" t="inlineStr">
        <is>
          <t>ID</t>
        </is>
      </c>
      <c r="B4" s="20" t="inlineStr">
        <is>
          <t>Destinasjon</t>
        </is>
      </c>
      <c r="C4" s="20" t="inlineStr">
        <is>
          <t>Fra uke</t>
        </is>
      </c>
      <c r="D4" s="20" t="inlineStr">
        <is>
          <t>Til uke</t>
        </is>
      </c>
      <c r="E4" s="20" t="inlineStr">
        <is>
          <t>Type</t>
        </is>
      </c>
      <c r="F4" s="20" t="inlineStr">
        <is>
          <t>Justering (±)</t>
        </is>
      </c>
      <c r="G4" s="20" t="inlineStr">
        <is>
          <t>Kun år</t>
        </is>
      </c>
      <c r="H4" s="20" t="inlineStr">
        <is>
          <t>Beskrivelse</t>
        </is>
      </c>
    </row>
    <row r="5">
      <c r="A5" s="21" t="inlineStr">
        <is>
          <t>BWA</t>
        </is>
      </c>
      <c r="B5" s="5">
        <f>IFERROR(INDEX(Destinasjoner!$E$5:$E$64,MATCH(A5,Destinasjoner!$A$5:$A$64,0)),"")</f>
        <v/>
      </c>
      <c r="C5" s="21" t="n">
        <v>49</v>
      </c>
      <c r="D5" s="21" t="n">
        <v>12</v>
      </c>
      <c r="E5" s="21" t="inlineStr">
        <is>
          <t>Dyreliv</t>
        </is>
      </c>
      <c r="F5" s="21" t="n">
        <v>0.5</v>
      </c>
      <c r="G5" s="21" t="n"/>
      <c r="H5" s="21" t="inlineStr">
        <is>
          <t>Sebramigrasjon i Makgadikgadi/Nxai Pan i grønn sesong – gjelder hvis ruten inkluderer saltpannene</t>
        </is>
      </c>
    </row>
    <row r="6">
      <c r="A6" s="21" t="inlineStr">
        <is>
          <t>VNM</t>
        </is>
      </c>
      <c r="B6" s="5">
        <f>IFERROR(INDEX(Destinasjoner!$E$5:$E$64,MATCH(A6,Destinasjoner!$A$5:$A$64,0)),"")</f>
        <v/>
      </c>
      <c r="C6" s="21" t="n">
        <v>7</v>
      </c>
      <c r="D6" s="21" t="n">
        <v>8</v>
      </c>
      <c r="E6" s="21" t="inlineStr">
        <is>
          <t>Helligdag</t>
        </is>
      </c>
      <c r="F6" s="21" t="n">
        <v>-1</v>
      </c>
      <c r="G6" s="21" t="n">
        <v>2026</v>
      </c>
      <c r="H6" s="21" t="inlineStr">
        <is>
          <t>Tet (17.2.2026): fulle tog/fly, mye stengt</t>
        </is>
      </c>
    </row>
    <row r="7">
      <c r="A7" s="21" t="inlineStr">
        <is>
          <t>VNM</t>
        </is>
      </c>
      <c r="B7" s="5">
        <f>IFERROR(INDEX(Destinasjoner!$E$5:$E$64,MATCH(A7,Destinasjoner!$A$5:$A$64,0)),"")</f>
        <v/>
      </c>
      <c r="C7" s="21" t="n">
        <v>5</v>
      </c>
      <c r="D7" s="21" t="n">
        <v>6</v>
      </c>
      <c r="E7" s="21" t="inlineStr">
        <is>
          <t>Helligdag</t>
        </is>
      </c>
      <c r="F7" s="21" t="n">
        <v>-1</v>
      </c>
      <c r="G7" s="21" t="n">
        <v>2027</v>
      </c>
      <c r="H7" s="21" t="inlineStr">
        <is>
          <t>Tet (6.2.2027): fulle tog/fly, mye stengt</t>
        </is>
      </c>
    </row>
    <row r="8">
      <c r="A8" s="21" t="inlineStr">
        <is>
          <t>VNM</t>
        </is>
      </c>
      <c r="B8" s="5">
        <f>IFERROR(INDEX(Destinasjoner!$E$5:$E$64,MATCH(A8,Destinasjoner!$A$5:$A$64,0)),"")</f>
        <v/>
      </c>
      <c r="C8" s="21" t="n">
        <v>4</v>
      </c>
      <c r="D8" s="21" t="n">
        <v>5</v>
      </c>
      <c r="E8" s="21" t="inlineStr">
        <is>
          <t>Helligdag</t>
        </is>
      </c>
      <c r="F8" s="21" t="n">
        <v>-1</v>
      </c>
      <c r="G8" s="21" t="n">
        <v>2028</v>
      </c>
      <c r="H8" s="21" t="inlineStr">
        <is>
          <t>Tet (26.1.2028): fulle tog/fly, mye stengt</t>
        </is>
      </c>
    </row>
    <row r="9">
      <c r="A9" s="21" t="inlineStr">
        <is>
          <t>CHN</t>
        </is>
      </c>
      <c r="B9" s="5">
        <f>IFERROR(INDEX(Destinasjoner!$E$5:$E$64,MATCH(A9,Destinasjoner!$A$5:$A$64,0)),"")</f>
        <v/>
      </c>
      <c r="C9" s="21" t="n">
        <v>5</v>
      </c>
      <c r="D9" s="21" t="n">
        <v>6</v>
      </c>
      <c r="E9" s="21" t="inlineStr">
        <is>
          <t>Helligdag</t>
        </is>
      </c>
      <c r="F9" s="21" t="n">
        <v>-1</v>
      </c>
      <c r="G9" s="21" t="n">
        <v>2027</v>
      </c>
      <c r="H9" s="21" t="inlineStr">
        <is>
          <t>Kinesisk nyttår (6.2.2027): enorm innenlandsreising, mye stengt</t>
        </is>
      </c>
    </row>
    <row r="10">
      <c r="A10" s="21" t="inlineStr">
        <is>
          <t>CHN</t>
        </is>
      </c>
      <c r="B10" s="5">
        <f>IFERROR(INDEX(Destinasjoner!$E$5:$E$64,MATCH(A10,Destinasjoner!$A$5:$A$64,0)),"")</f>
        <v/>
      </c>
      <c r="C10" s="21" t="n">
        <v>4</v>
      </c>
      <c r="D10" s="21" t="n">
        <v>5</v>
      </c>
      <c r="E10" s="21" t="inlineStr">
        <is>
          <t>Helligdag</t>
        </is>
      </c>
      <c r="F10" s="21" t="n">
        <v>-1</v>
      </c>
      <c r="G10" s="21" t="n">
        <v>2028</v>
      </c>
      <c r="H10" s="21" t="inlineStr">
        <is>
          <t>Kinesisk nyttår (26.1.2028)</t>
        </is>
      </c>
    </row>
    <row r="11">
      <c r="A11" s="21" t="inlineStr">
        <is>
          <t>CHN</t>
        </is>
      </c>
      <c r="B11" s="5">
        <f>IFERROR(INDEX(Destinasjoner!$E$5:$E$64,MATCH(A11,Destinasjoner!$A$5:$A$64,0)),"")</f>
        <v/>
      </c>
      <c r="C11" s="21" t="n">
        <v>40</v>
      </c>
      <c r="D11" s="21" t="n">
        <v>41</v>
      </c>
      <c r="E11" s="21" t="inlineStr">
        <is>
          <t>Helligdag</t>
        </is>
      </c>
      <c r="F11" s="21" t="n">
        <v>-1</v>
      </c>
      <c r="G11" s="21" t="n">
        <v>2026</v>
      </c>
      <c r="H11" s="21" t="inlineStr">
        <is>
          <t>Golden Week: overfylt, høye priser</t>
        </is>
      </c>
    </row>
    <row r="12">
      <c r="A12" s="21" t="inlineStr">
        <is>
          <t>CHN</t>
        </is>
      </c>
      <c r="B12" s="5">
        <f>IFERROR(INDEX(Destinasjoner!$E$5:$E$64,MATCH(A12,Destinasjoner!$A$5:$A$64,0)),"")</f>
        <v/>
      </c>
      <c r="C12" s="21" t="n">
        <v>39</v>
      </c>
      <c r="D12" s="21" t="n">
        <v>40</v>
      </c>
      <c r="E12" s="21" t="inlineStr">
        <is>
          <t>Helligdag</t>
        </is>
      </c>
      <c r="F12" s="21" t="n">
        <v>-1</v>
      </c>
      <c r="G12" s="21" t="n">
        <v>2027</v>
      </c>
      <c r="H12" s="21" t="inlineStr">
        <is>
          <t>Golden Week: overfylt, høye priser</t>
        </is>
      </c>
    </row>
    <row r="13">
      <c r="A13" s="21" t="inlineStr">
        <is>
          <t>CHN</t>
        </is>
      </c>
      <c r="B13" s="5">
        <f>IFERROR(INDEX(Destinasjoner!$E$5:$E$64,MATCH(A13,Destinasjoner!$A$5:$A$64,0)),"")</f>
        <v/>
      </c>
      <c r="C13" s="21" t="n">
        <v>39</v>
      </c>
      <c r="D13" s="21" t="n">
        <v>40</v>
      </c>
      <c r="E13" s="21" t="inlineStr">
        <is>
          <t>Helligdag</t>
        </is>
      </c>
      <c r="F13" s="21" t="n">
        <v>-1</v>
      </c>
      <c r="G13" s="21" t="n">
        <v>2028</v>
      </c>
      <c r="H13" s="21" t="inlineStr">
        <is>
          <t>Golden Week: overfylt, høye priser</t>
        </is>
      </c>
    </row>
    <row r="14">
      <c r="A14" s="21" t="inlineStr">
        <is>
          <t>CHN</t>
        </is>
      </c>
      <c r="B14" s="5">
        <f>IFERROR(INDEX(Destinasjoner!$E$5:$E$64,MATCH(A14,Destinasjoner!$A$5:$A$64,0)),"")</f>
        <v/>
      </c>
      <c r="C14" s="21" t="n">
        <v>18</v>
      </c>
      <c r="D14" s="21" t="n">
        <v>18</v>
      </c>
      <c r="E14" s="21" t="inlineStr">
        <is>
          <t>Helligdag</t>
        </is>
      </c>
      <c r="F14" s="21" t="n">
        <v>-0.5</v>
      </c>
      <c r="G14" s="21" t="n"/>
      <c r="H14" s="21" t="inlineStr">
        <is>
          <t>1.–5. mai-ferie: fullt på severdigheter (uka kan forskyves ett nr.)</t>
        </is>
      </c>
    </row>
    <row r="15">
      <c r="A15" s="21" t="inlineStr">
        <is>
          <t>BTN</t>
        </is>
      </c>
      <c r="B15" s="5">
        <f>IFERROR(INDEX(Destinasjoner!$E$5:$E$64,MATCH(A15,Destinasjoner!$A$5:$A$64,0)),"")</f>
        <v/>
      </c>
      <c r="C15" s="21" t="n">
        <v>7</v>
      </c>
      <c r="D15" s="21" t="n">
        <v>7</v>
      </c>
      <c r="E15" s="21" t="inlineStr">
        <is>
          <t>Hendelse</t>
        </is>
      </c>
      <c r="F15" s="21" t="n">
        <v>0.5</v>
      </c>
      <c r="G15" s="21" t="n">
        <v>2027</v>
      </c>
      <c r="H15" s="21" t="inlineStr">
        <is>
          <t>Punakha Tsechu 16.–18.2.2027 (Punakha Drubchen 13.–15.2)</t>
        </is>
      </c>
    </row>
    <row r="16">
      <c r="A16" s="21" t="inlineStr">
        <is>
          <t>BTN</t>
        </is>
      </c>
      <c r="B16" s="5">
        <f>IFERROR(INDEX(Destinasjoner!$E$5:$E$64,MATCH(A16,Destinasjoner!$A$5:$A$64,0)),"")</f>
        <v/>
      </c>
      <c r="C16" s="21" t="n">
        <v>11</v>
      </c>
      <c r="D16" s="21" t="n">
        <v>12</v>
      </c>
      <c r="E16" s="21" t="inlineStr">
        <is>
          <t>Hendelse</t>
        </is>
      </c>
      <c r="F16" s="21" t="n">
        <v>0.5</v>
      </c>
      <c r="G16" s="21" t="n">
        <v>2027</v>
      </c>
      <c r="H16" s="21" t="inlineStr">
        <is>
          <t>Paro Tsechu 18.–22.3.2027</t>
        </is>
      </c>
    </row>
    <row r="17">
      <c r="A17" s="21" t="inlineStr">
        <is>
          <t>BTN</t>
        </is>
      </c>
      <c r="B17" s="5">
        <f>IFERROR(INDEX(Destinasjoner!$E$5:$E$64,MATCH(A17,Destinasjoner!$A$5:$A$64,0)),"")</f>
        <v/>
      </c>
      <c r="C17" s="21" t="n">
        <v>40</v>
      </c>
      <c r="D17" s="21" t="n">
        <v>41</v>
      </c>
      <c r="E17" s="21" t="inlineStr">
        <is>
          <t>Hendelse</t>
        </is>
      </c>
      <c r="F17" s="21" t="n">
        <v>0.5</v>
      </c>
      <c r="G17" s="21" t="n">
        <v>2027</v>
      </c>
      <c r="H17" s="21" t="inlineStr">
        <is>
          <t>Thimphu Tsechu 10.–12.10.2027</t>
        </is>
      </c>
    </row>
    <row r="18">
      <c r="A18" s="21" t="inlineStr">
        <is>
          <t>BTN</t>
        </is>
      </c>
      <c r="B18" s="5">
        <f>IFERROR(INDEX(Destinasjoner!$E$5:$E$64,MATCH(A18,Destinasjoner!$A$5:$A$64,0)),"")</f>
        <v/>
      </c>
      <c r="C18" s="21" t="n">
        <v>45</v>
      </c>
      <c r="D18" s="21" t="n">
        <v>46</v>
      </c>
      <c r="E18" s="21" t="inlineStr">
        <is>
          <t>Hendelse</t>
        </is>
      </c>
      <c r="F18" s="21" t="n">
        <v>0.3</v>
      </c>
      <c r="G18" s="21" t="n">
        <v>2027</v>
      </c>
      <c r="H18" s="21" t="inlineStr">
        <is>
          <t>Jambay Lhakhang Drup (Bumthang) 14.–17.11.2027</t>
        </is>
      </c>
    </row>
    <row r="19">
      <c r="A19" s="21" t="inlineStr">
        <is>
          <t>BTN</t>
        </is>
      </c>
      <c r="B19" s="5">
        <f>IFERROR(INDEX(Destinasjoner!$E$5:$E$64,MATCH(A19,Destinasjoner!$A$5:$A$64,0)),"")</f>
        <v/>
      </c>
      <c r="C19" s="21" t="n">
        <v>46</v>
      </c>
      <c r="D19" s="21" t="n">
        <v>46</v>
      </c>
      <c r="E19" s="21" t="inlineStr">
        <is>
          <t>Hendelse</t>
        </is>
      </c>
      <c r="F19" s="21" t="n">
        <v>0.3</v>
      </c>
      <c r="G19" s="21" t="n"/>
      <c r="H19" s="21" t="inlineStr">
        <is>
          <t>Svarthalset trane-festival i Gangtey 11.11 hvert år</t>
        </is>
      </c>
    </row>
    <row r="20">
      <c r="A20" s="21" t="inlineStr">
        <is>
          <t>MMR</t>
        </is>
      </c>
      <c r="B20" s="5">
        <f>IFERROR(INDEX(Destinasjoner!$E$5:$E$64,MATCH(A20,Destinasjoner!$A$5:$A$64,0)),"")</f>
        <v/>
      </c>
      <c r="C20" s="21" t="n">
        <v>15</v>
      </c>
      <c r="D20" s="21" t="n">
        <v>16</v>
      </c>
      <c r="E20" s="21" t="inlineStr">
        <is>
          <t>Helligdag</t>
        </is>
      </c>
      <c r="F20" s="21" t="n">
        <v>-0.5</v>
      </c>
      <c r="G20" s="21" t="n"/>
      <c r="H20" s="21" t="inlineStr">
        <is>
          <t>Thingyan 13.–16.4: vannkamp, mye stengt, transport full</t>
        </is>
      </c>
    </row>
    <row r="21">
      <c r="A21" s="21" t="inlineStr">
        <is>
          <t>LAO</t>
        </is>
      </c>
      <c r="B21" s="5">
        <f>IFERROR(INDEX(Destinasjoner!$E$5:$E$64,MATCH(A21,Destinasjoner!$A$5:$A$64,0)),"")</f>
        <v/>
      </c>
      <c r="C21" s="21" t="n">
        <v>16</v>
      </c>
      <c r="D21" s="21" t="n">
        <v>16</v>
      </c>
      <c r="E21" s="21" t="inlineStr">
        <is>
          <t>Hendelse</t>
        </is>
      </c>
      <c r="F21" s="21" t="n">
        <v>0.3</v>
      </c>
      <c r="G21" s="21" t="n"/>
      <c r="H21" s="21" t="inlineStr">
        <is>
          <t>Pi Mai (lao nyttår) 14.–16.4 i Luang Prabang: festlig, men fullbooket</t>
        </is>
      </c>
    </row>
    <row r="22">
      <c r="A22" s="21" t="inlineStr">
        <is>
          <t>IND-GOA</t>
        </is>
      </c>
      <c r="B22" s="5">
        <f>IFERROR(INDEX(Destinasjoner!$E$5:$E$64,MATCH(A22,Destinasjoner!$A$5:$A$64,0)),"")</f>
        <v/>
      </c>
      <c r="C22" s="21" t="n">
        <v>5</v>
      </c>
      <c r="D22" s="21" t="n">
        <v>6</v>
      </c>
      <c r="E22" s="21" t="inlineStr">
        <is>
          <t>Hendelse</t>
        </is>
      </c>
      <c r="F22" s="21" t="n">
        <v>0.5</v>
      </c>
      <c r="G22" s="21" t="n">
        <v>2027</v>
      </c>
      <c r="H22" s="21" t="inlineStr">
        <is>
          <t>Karneval i Goa (før faste) 2027</t>
        </is>
      </c>
    </row>
    <row r="23">
      <c r="A23" s="21" t="inlineStr">
        <is>
          <t>IND-GOA</t>
        </is>
      </c>
      <c r="B23" s="5">
        <f>IFERROR(INDEX(Destinasjoner!$E$5:$E$64,MATCH(A23,Destinasjoner!$A$5:$A$64,0)),"")</f>
        <v/>
      </c>
      <c r="C23" s="21" t="n">
        <v>8</v>
      </c>
      <c r="D23" s="21" t="n">
        <v>9</v>
      </c>
      <c r="E23" s="21" t="inlineStr">
        <is>
          <t>Hendelse</t>
        </is>
      </c>
      <c r="F23" s="21" t="n">
        <v>0.5</v>
      </c>
      <c r="G23" s="21" t="n">
        <v>2028</v>
      </c>
      <c r="H23" s="21" t="inlineStr">
        <is>
          <t>Karneval i Goa (før faste) 2028</t>
        </is>
      </c>
    </row>
    <row r="24">
      <c r="A24" s="21" t="inlineStr">
        <is>
          <t>IND-GOA</t>
        </is>
      </c>
      <c r="B24" s="5">
        <f>IFERROR(INDEX(Destinasjoner!$E$5:$E$64,MATCH(A24,Destinasjoner!$A$5:$A$64,0)),"")</f>
        <v/>
      </c>
      <c r="C24" s="21" t="n">
        <v>52</v>
      </c>
      <c r="D24" s="21" t="n">
        <v>1</v>
      </c>
      <c r="E24" s="21" t="inlineStr">
        <is>
          <t>Annet</t>
        </is>
      </c>
      <c r="F24" s="21" t="n">
        <v>-0.5</v>
      </c>
      <c r="G24" s="21" t="n"/>
      <c r="H24" s="21" t="inlineStr">
        <is>
          <t>Jul/nyttår: toppriser, fullt</t>
        </is>
      </c>
    </row>
    <row r="25">
      <c r="A25" s="21" t="inlineStr">
        <is>
          <t>LKA-SV</t>
        </is>
      </c>
      <c r="B25" s="5">
        <f>IFERROR(INDEX(Destinasjoner!$E$5:$E$64,MATCH(A25,Destinasjoner!$A$5:$A$64,0)),"")</f>
        <v/>
      </c>
      <c r="C25" s="21" t="n">
        <v>31</v>
      </c>
      <c r="D25" s="21" t="n">
        <v>33</v>
      </c>
      <c r="E25" s="21" t="inlineStr">
        <is>
          <t>Hendelse</t>
        </is>
      </c>
      <c r="F25" s="21" t="n">
        <v>0.5</v>
      </c>
      <c r="G25" s="21" t="n"/>
      <c r="H25" s="21" t="inlineStr">
        <is>
          <t>Esala Perahera i Kandy (juli/aug, følger fullmåne – sjekk dato; 2026: 18.–27.8)</t>
        </is>
      </c>
    </row>
    <row r="26">
      <c r="A26" s="21" t="inlineStr">
        <is>
          <t>PYF</t>
        </is>
      </c>
      <c r="B26" s="5">
        <f>IFERROR(INDEX(Destinasjoner!$E$5:$E$64,MATCH(A26,Destinasjoner!$A$5:$A$64,0)),"")</f>
        <v/>
      </c>
      <c r="C26" s="21" t="n">
        <v>27</v>
      </c>
      <c r="D26" s="21" t="n">
        <v>29</v>
      </c>
      <c r="E26" s="21" t="inlineStr">
        <is>
          <t>Hendelse</t>
        </is>
      </c>
      <c r="F26" s="21" t="n">
        <v>0.5</v>
      </c>
      <c r="G26" s="21" t="n"/>
      <c r="H26" s="21" t="inlineStr">
        <is>
          <t>Heiva i Tahiti (sen juni–midt juli, sjekk dato)</t>
        </is>
      </c>
    </row>
    <row r="27">
      <c r="A27" s="21" t="inlineStr">
        <is>
          <t>SILK</t>
        </is>
      </c>
      <c r="B27" s="5">
        <f>IFERROR(INDEX(Destinasjoner!$E$5:$E$64,MATCH(A27,Destinasjoner!$A$5:$A$64,0)),"")</f>
        <v/>
      </c>
      <c r="C27" s="21" t="n">
        <v>12</v>
      </c>
      <c r="D27" s="21" t="n">
        <v>12</v>
      </c>
      <c r="E27" s="21" t="inlineStr">
        <is>
          <t>Hendelse</t>
        </is>
      </c>
      <c r="F27" s="21" t="n">
        <v>0.5</v>
      </c>
      <c r="G27" s="21" t="n"/>
      <c r="H27" s="21" t="inlineStr">
        <is>
          <t>Navruz 21.3: feiring, men offentlig fri</t>
        </is>
      </c>
    </row>
    <row r="28">
      <c r="A28" s="21" t="inlineStr">
        <is>
          <t>PNG</t>
        </is>
      </c>
      <c r="B28" s="5">
        <f>IFERROR(INDEX(Destinasjoner!$E$5:$E$64,MATCH(A28,Destinasjoner!$A$5:$A$64,0)),"")</f>
        <v/>
      </c>
      <c r="C28" s="21" t="n">
        <v>33</v>
      </c>
      <c r="D28" s="21" t="n">
        <v>33</v>
      </c>
      <c r="E28" s="21" t="inlineStr">
        <is>
          <t>Hendelse</t>
        </is>
      </c>
      <c r="F28" s="21" t="n">
        <v>1</v>
      </c>
      <c r="G28" s="21" t="n"/>
      <c r="H28" s="21" t="inlineStr">
        <is>
          <t>Mount Hagen Cultural Show (ca. midten av aug, sjekk dato)</t>
        </is>
      </c>
    </row>
    <row r="29">
      <c r="A29" s="21" t="inlineStr">
        <is>
          <t>PNG</t>
        </is>
      </c>
      <c r="B29" s="5">
        <f>IFERROR(INDEX(Destinasjoner!$E$5:$E$64,MATCH(A29,Destinasjoner!$A$5:$A$64,0)),"")</f>
        <v/>
      </c>
      <c r="C29" s="21" t="n">
        <v>37</v>
      </c>
      <c r="D29" s="21" t="n">
        <v>38</v>
      </c>
      <c r="E29" s="21" t="inlineStr">
        <is>
          <t>Hendelse</t>
        </is>
      </c>
      <c r="F29" s="21" t="n">
        <v>1</v>
      </c>
      <c r="G29" s="21" t="n"/>
      <c r="H29" s="21" t="inlineStr">
        <is>
          <t>Goroka Show (helgen rundt 16.9, sjekk dato)</t>
        </is>
      </c>
    </row>
    <row r="30">
      <c r="A30" s="21" t="inlineStr">
        <is>
          <t>LBN</t>
        </is>
      </c>
      <c r="B30" s="5">
        <f>IFERROR(INDEX(Destinasjoner!$E$5:$E$64,MATCH(A30,Destinasjoner!$A$5:$A$64,0)),"")</f>
        <v/>
      </c>
      <c r="C30" s="21" t="n">
        <v>29</v>
      </c>
      <c r="D30" s="21" t="n">
        <v>32</v>
      </c>
      <c r="E30" s="21" t="inlineStr">
        <is>
          <t>Hendelse</t>
        </is>
      </c>
      <c r="F30" s="21" t="n">
        <v>0.3</v>
      </c>
      <c r="G30" s="21" t="n"/>
      <c r="H30" s="21" t="inlineStr">
        <is>
          <t>Baalbek International Festival (juli–aug, sjekk program)</t>
        </is>
      </c>
    </row>
    <row r="31">
      <c r="A31" s="21" t="inlineStr">
        <is>
          <t>CRI</t>
        </is>
      </c>
      <c r="B31" s="5">
        <f>IFERROR(INDEX(Destinasjoner!$E$5:$E$64,MATCH(A31,Destinasjoner!$A$5:$A$64,0)),"")</f>
        <v/>
      </c>
      <c r="C31" s="21" t="n">
        <v>11</v>
      </c>
      <c r="D31" s="21" t="n">
        <v>12</v>
      </c>
      <c r="E31" s="21" t="inlineStr">
        <is>
          <t>Helligdag</t>
        </is>
      </c>
      <c r="F31" s="21" t="n">
        <v>-0.5</v>
      </c>
      <c r="G31" s="21" t="n">
        <v>2027</v>
      </c>
      <c r="H31" s="21" t="inlineStr">
        <is>
          <t>Semana Santa: alt fullt, alkoholforbud enkelte dager</t>
        </is>
      </c>
    </row>
    <row r="32">
      <c r="A32" s="21" t="inlineStr">
        <is>
          <t>CRI</t>
        </is>
      </c>
      <c r="B32" s="5">
        <f>IFERROR(INDEX(Destinasjoner!$E$5:$E$64,MATCH(A32,Destinasjoner!$A$5:$A$64,0)),"")</f>
        <v/>
      </c>
      <c r="C32" s="21" t="n">
        <v>14</v>
      </c>
      <c r="D32" s="21" t="n">
        <v>15</v>
      </c>
      <c r="E32" s="21" t="inlineStr">
        <is>
          <t>Helligdag</t>
        </is>
      </c>
      <c r="F32" s="21" t="n">
        <v>-0.5</v>
      </c>
      <c r="G32" s="21" t="n">
        <v>2028</v>
      </c>
      <c r="H32" s="21" t="inlineStr">
        <is>
          <t>Semana Santa: alt fullt</t>
        </is>
      </c>
    </row>
    <row r="33">
      <c r="A33" s="21" t="inlineStr">
        <is>
          <t>COL</t>
        </is>
      </c>
      <c r="B33" s="5">
        <f>IFERROR(INDEX(Destinasjoner!$E$5:$E$64,MATCH(A33,Destinasjoner!$A$5:$A$64,0)),"")</f>
        <v/>
      </c>
      <c r="C33" s="21" t="n">
        <v>5</v>
      </c>
      <c r="D33" s="21" t="n">
        <v>6</v>
      </c>
      <c r="E33" s="21" t="inlineStr">
        <is>
          <t>Hendelse</t>
        </is>
      </c>
      <c r="F33" s="21" t="n">
        <v>0.5</v>
      </c>
      <c r="G33" s="21" t="n">
        <v>2027</v>
      </c>
      <c r="H33" s="21" t="inlineStr">
        <is>
          <t>Karneval i Barranquilla (2 t fra Cartagena)</t>
        </is>
      </c>
    </row>
    <row r="34">
      <c r="A34" s="21" t="inlineStr">
        <is>
          <t>COL</t>
        </is>
      </c>
      <c r="B34" s="5">
        <f>IFERROR(INDEX(Destinasjoner!$E$5:$E$64,MATCH(A34,Destinasjoner!$A$5:$A$64,0)),"")</f>
        <v/>
      </c>
      <c r="C34" s="21" t="n">
        <v>8</v>
      </c>
      <c r="D34" s="21" t="n">
        <v>9</v>
      </c>
      <c r="E34" s="21" t="inlineStr">
        <is>
          <t>Hendelse</t>
        </is>
      </c>
      <c r="F34" s="21" t="n">
        <v>0.5</v>
      </c>
      <c r="G34" s="21" t="n">
        <v>2028</v>
      </c>
      <c r="H34" s="21" t="inlineStr">
        <is>
          <t>Karneval i Barranquilla</t>
        </is>
      </c>
    </row>
    <row r="35">
      <c r="A35" s="21" t="inlineStr">
        <is>
          <t>COL</t>
        </is>
      </c>
      <c r="B35" s="5">
        <f>IFERROR(INDEX(Destinasjoner!$E$5:$E$64,MATCH(A35,Destinasjoner!$A$5:$A$64,0)),"")</f>
        <v/>
      </c>
      <c r="C35" s="21" t="n">
        <v>11</v>
      </c>
      <c r="D35" s="21" t="n">
        <v>12</v>
      </c>
      <c r="E35" s="21" t="inlineStr">
        <is>
          <t>Helligdag</t>
        </is>
      </c>
      <c r="F35" s="21" t="n">
        <v>-0.5</v>
      </c>
      <c r="G35" s="21" t="n">
        <v>2027</v>
      </c>
      <c r="H35" s="21" t="inlineStr">
        <is>
          <t>Semana Santa: innenlands høysesong ved kysten</t>
        </is>
      </c>
    </row>
    <row r="36">
      <c r="A36" s="21" t="inlineStr">
        <is>
          <t>BRA-NE</t>
        </is>
      </c>
      <c r="B36" s="5">
        <f>IFERROR(INDEX(Destinasjoner!$E$5:$E$64,MATCH(A36,Destinasjoner!$A$5:$A$64,0)),"")</f>
        <v/>
      </c>
      <c r="C36" s="21" t="n">
        <v>5</v>
      </c>
      <c r="D36" s="21" t="n">
        <v>6</v>
      </c>
      <c r="E36" s="21" t="inlineStr">
        <is>
          <t>Hendelse</t>
        </is>
      </c>
      <c r="F36" s="21" t="n">
        <v>0.5</v>
      </c>
      <c r="G36" s="21" t="n">
        <v>2027</v>
      </c>
      <c r="H36" s="21" t="inlineStr">
        <is>
          <t>Karneval (Rio, Salvador, Recife/Olinda) – fantastisk, men dyrt</t>
        </is>
      </c>
    </row>
    <row r="37">
      <c r="A37" s="21" t="inlineStr">
        <is>
          <t>BRA-NE</t>
        </is>
      </c>
      <c r="B37" s="5">
        <f>IFERROR(INDEX(Destinasjoner!$E$5:$E$64,MATCH(A37,Destinasjoner!$A$5:$A$64,0)),"")</f>
        <v/>
      </c>
      <c r="C37" s="21" t="n">
        <v>8</v>
      </c>
      <c r="D37" s="21" t="n">
        <v>9</v>
      </c>
      <c r="E37" s="21" t="inlineStr">
        <is>
          <t>Hendelse</t>
        </is>
      </c>
      <c r="F37" s="21" t="n">
        <v>0.5</v>
      </c>
      <c r="G37" s="21" t="n">
        <v>2028</v>
      </c>
      <c r="H37" s="21" t="inlineStr">
        <is>
          <t>Karneval</t>
        </is>
      </c>
    </row>
    <row r="38">
      <c r="A38" s="21" t="inlineStr">
        <is>
          <t>BRA-NE</t>
        </is>
      </c>
      <c r="B38" s="5">
        <f>IFERROR(INDEX(Destinasjoner!$E$5:$E$64,MATCH(A38,Destinasjoner!$A$5:$A$64,0)),"")</f>
        <v/>
      </c>
      <c r="C38" s="21" t="n">
        <v>25</v>
      </c>
      <c r="D38" s="21" t="n">
        <v>26</v>
      </c>
      <c r="E38" s="21" t="inlineStr">
        <is>
          <t>Hendelse</t>
        </is>
      </c>
      <c r="F38" s="21" t="n">
        <v>0.5</v>
      </c>
      <c r="G38" s="21" t="n"/>
      <c r="H38" s="21" t="inlineStr">
        <is>
          <t>São João (23.–24.6) i nordøst: forró og fest</t>
        </is>
      </c>
    </row>
    <row r="39">
      <c r="A39" s="21" t="inlineStr">
        <is>
          <t>USA-HI</t>
        </is>
      </c>
      <c r="B39" s="5">
        <f>IFERROR(INDEX(Destinasjoner!$E$5:$E$64,MATCH(A39,Destinasjoner!$A$5:$A$64,0)),"")</f>
        <v/>
      </c>
      <c r="C39" s="21" t="n">
        <v>12</v>
      </c>
      <c r="D39" s="21" t="n">
        <v>13</v>
      </c>
      <c r="E39" s="21" t="inlineStr">
        <is>
          <t>Hendelse</t>
        </is>
      </c>
      <c r="F39" s="21" t="n">
        <v>0.3</v>
      </c>
      <c r="G39" s="21" t="n">
        <v>2027</v>
      </c>
      <c r="H39" s="21" t="inlineStr">
        <is>
          <t>Merrie Monarch hula-festival i Hilo (uka etter påske)</t>
        </is>
      </c>
    </row>
    <row r="40">
      <c r="A40" s="21" t="inlineStr">
        <is>
          <t>USA-HI</t>
        </is>
      </c>
      <c r="B40" s="5">
        <f>IFERROR(INDEX(Destinasjoner!$E$5:$E$64,MATCH(A40,Destinasjoner!$A$5:$A$64,0)),"")</f>
        <v/>
      </c>
      <c r="C40" s="21" t="n">
        <v>15</v>
      </c>
      <c r="D40" s="21" t="n">
        <v>16</v>
      </c>
      <c r="E40" s="21" t="inlineStr">
        <is>
          <t>Hendelse</t>
        </is>
      </c>
      <c r="F40" s="21" t="n">
        <v>0.3</v>
      </c>
      <c r="G40" s="21" t="n">
        <v>2028</v>
      </c>
      <c r="H40" s="21" t="inlineStr">
        <is>
          <t>Merrie Monarch hula-festival i Hilo</t>
        </is>
      </c>
    </row>
    <row r="41">
      <c r="A41" s="21" t="inlineStr">
        <is>
          <t>USA-CHS</t>
        </is>
      </c>
      <c r="B41" s="5">
        <f>IFERROR(INDEX(Destinasjoner!$E$5:$E$64,MATCH(A41,Destinasjoner!$A$5:$A$64,0)),"")</f>
        <v/>
      </c>
      <c r="C41" s="21" t="n">
        <v>22</v>
      </c>
      <c r="D41" s="21" t="n">
        <v>23</v>
      </c>
      <c r="E41" s="21" t="inlineStr">
        <is>
          <t>Hendelse</t>
        </is>
      </c>
      <c r="F41" s="21" t="n">
        <v>0.3</v>
      </c>
      <c r="G41" s="21" t="n"/>
      <c r="H41" s="21" t="inlineStr">
        <is>
          <t>Spoleto Festival USA (sen mai–tidl. juni)</t>
        </is>
      </c>
    </row>
    <row r="42">
      <c r="A42" s="21" t="inlineStr">
        <is>
          <t>MEX-CDMX</t>
        </is>
      </c>
      <c r="B42" s="5">
        <f>IFERROR(INDEX(Destinasjoner!$E$5:$E$64,MATCH(A42,Destinasjoner!$A$5:$A$64,0)),"")</f>
        <v/>
      </c>
      <c r="C42" s="21" t="n">
        <v>44</v>
      </c>
      <c r="D42" s="21" t="n">
        <v>44</v>
      </c>
      <c r="E42" s="21" t="inlineStr">
        <is>
          <t>Hendelse</t>
        </is>
      </c>
      <c r="F42" s="21" t="n">
        <v>1</v>
      </c>
      <c r="G42" s="21" t="n"/>
      <c r="H42" s="21" t="inlineStr">
        <is>
          <t>Día de Muertos (31.10–2.11): parade, altere, Mixquic</t>
        </is>
      </c>
    </row>
    <row r="43">
      <c r="A43" s="21" t="inlineStr">
        <is>
          <t>ETH</t>
        </is>
      </c>
      <c r="B43" s="5">
        <f>IFERROR(INDEX(Destinasjoner!$E$5:$E$64,MATCH(A43,Destinasjoner!$A$5:$A$64,0)),"")</f>
        <v/>
      </c>
      <c r="C43" s="21" t="n">
        <v>1</v>
      </c>
      <c r="D43" s="21" t="n">
        <v>1</v>
      </c>
      <c r="E43" s="21" t="inlineStr">
        <is>
          <t>Helligdag</t>
        </is>
      </c>
      <c r="F43" s="21" t="n">
        <v>0.3</v>
      </c>
      <c r="G43" s="21" t="n"/>
      <c r="H43" s="21" t="inlineStr">
        <is>
          <t>Genna (etiopisk jul 7.1): midnattsmesse i Lalibela</t>
        </is>
      </c>
    </row>
    <row r="44">
      <c r="A44" s="21" t="inlineStr">
        <is>
          <t>ETH</t>
        </is>
      </c>
      <c r="B44" s="5">
        <f>IFERROR(INDEX(Destinasjoner!$E$5:$E$64,MATCH(A44,Destinasjoner!$A$5:$A$64,0)),"")</f>
        <v/>
      </c>
      <c r="C44" s="21" t="n">
        <v>3</v>
      </c>
      <c r="D44" s="21" t="n">
        <v>3</v>
      </c>
      <c r="E44" s="21" t="inlineStr">
        <is>
          <t>Hendelse</t>
        </is>
      </c>
      <c r="F44" s="21" t="n">
        <v>1</v>
      </c>
      <c r="G44" s="21" t="n"/>
      <c r="H44" s="21" t="inlineStr">
        <is>
          <t>Timkat (19./20.1): høydepunktet i Gondar og Lalibela – book tidlig</t>
        </is>
      </c>
    </row>
    <row r="45">
      <c r="A45" s="21" t="inlineStr">
        <is>
          <t>ETH</t>
        </is>
      </c>
      <c r="B45" s="5">
        <f>IFERROR(INDEX(Destinasjoner!$E$5:$E$64,MATCH(A45,Destinasjoner!$A$5:$A$64,0)),"")</f>
        <v/>
      </c>
      <c r="C45" s="21" t="n">
        <v>39</v>
      </c>
      <c r="D45" s="21" t="n">
        <v>39</v>
      </c>
      <c r="E45" s="21" t="inlineStr">
        <is>
          <t>Hendelse</t>
        </is>
      </c>
      <c r="F45" s="21" t="n">
        <v>0.5</v>
      </c>
      <c r="G45" s="21" t="n"/>
      <c r="H45" s="21" t="inlineStr">
        <is>
          <t>Meskel (27.9): bål og feiring i Addis</t>
        </is>
      </c>
    </row>
    <row r="46">
      <c r="A46" s="21" t="inlineStr">
        <is>
          <t>BEN</t>
        </is>
      </c>
      <c r="B46" s="5">
        <f>IFERROR(INDEX(Destinasjoner!$E$5:$E$64,MATCH(A46,Destinasjoner!$A$5:$A$64,0)),"")</f>
        <v/>
      </c>
      <c r="C46" s="21" t="n">
        <v>1</v>
      </c>
      <c r="D46" s="21" t="n">
        <v>1</v>
      </c>
      <c r="E46" s="21" t="inlineStr">
        <is>
          <t>Hendelse</t>
        </is>
      </c>
      <c r="F46" s="21" t="n">
        <v>1</v>
      </c>
      <c r="G46" s="21" t="n">
        <v>2027</v>
      </c>
      <c r="H46" s="21" t="inlineStr">
        <is>
          <t>Vodun-festivalen (Vodun Days) i Ouidah, 10.1</t>
        </is>
      </c>
    </row>
    <row r="47">
      <c r="A47" s="21" t="inlineStr">
        <is>
          <t>BEN</t>
        </is>
      </c>
      <c r="B47" s="5">
        <f>IFERROR(INDEX(Destinasjoner!$E$5:$E$64,MATCH(A47,Destinasjoner!$A$5:$A$64,0)),"")</f>
        <v/>
      </c>
      <c r="C47" s="21" t="n">
        <v>1</v>
      </c>
      <c r="D47" s="21" t="n">
        <v>2</v>
      </c>
      <c r="E47" s="21" t="inlineStr">
        <is>
          <t>Hendelse</t>
        </is>
      </c>
      <c r="F47" s="21" t="n">
        <v>1</v>
      </c>
      <c r="G47" s="21" t="n">
        <v>2028</v>
      </c>
      <c r="H47" s="21" t="inlineStr">
        <is>
          <t>Vodun-festivalen (Vodun Days) i Ouidah, 10.1</t>
        </is>
      </c>
    </row>
    <row r="48">
      <c r="A48" s="21" t="inlineStr">
        <is>
          <t>TGO</t>
        </is>
      </c>
      <c r="B48" s="5">
        <f>IFERROR(INDEX(Destinasjoner!$E$5:$E$64,MATCH(A48,Destinasjoner!$A$5:$A$64,0)),"")</f>
        <v/>
      </c>
      <c r="C48" s="21" t="n">
        <v>29</v>
      </c>
      <c r="D48" s="21" t="n">
        <v>29</v>
      </c>
      <c r="E48" s="21" t="inlineStr">
        <is>
          <t>Hendelse</t>
        </is>
      </c>
      <c r="F48" s="21" t="n">
        <v>0.3</v>
      </c>
      <c r="G48" s="21" t="n"/>
      <c r="H48" s="21" t="inlineStr">
        <is>
          <t>Evala-bryting i Kara (juli, sjekk dato)</t>
        </is>
      </c>
    </row>
    <row r="49">
      <c r="A49" s="21" t="inlineStr">
        <is>
          <t>GHA</t>
        </is>
      </c>
      <c r="B49" s="5">
        <f>IFERROR(INDEX(Destinasjoner!$E$5:$E$64,MATCH(A49,Destinasjoner!$A$5:$A$64,0)),"")</f>
        <v/>
      </c>
      <c r="C49" s="21" t="n">
        <v>31</v>
      </c>
      <c r="D49" s="21" t="n">
        <v>32</v>
      </c>
      <c r="E49" s="21" t="inlineStr">
        <is>
          <t>Hendelse</t>
        </is>
      </c>
      <c r="F49" s="21" t="n">
        <v>0.3</v>
      </c>
      <c r="G49" s="21" t="n"/>
      <c r="H49" s="21" t="inlineStr">
        <is>
          <t>Chale Wote gatekunstfestival (aug); PANAFEST i oddetallsår</t>
        </is>
      </c>
    </row>
    <row r="50">
      <c r="A50" s="21" t="inlineStr">
        <is>
          <t>EGY</t>
        </is>
      </c>
      <c r="B50" s="5">
        <f>IFERROR(INDEX(Destinasjoner!$E$5:$E$64,MATCH(A50,Destinasjoner!$A$5:$A$64,0)),"")</f>
        <v/>
      </c>
      <c r="C50" s="21" t="n">
        <v>6</v>
      </c>
      <c r="D50" s="21" t="n">
        <v>10</v>
      </c>
      <c r="E50" s="21" t="inlineStr">
        <is>
          <t>Helligdag</t>
        </is>
      </c>
      <c r="F50" s="21" t="n">
        <v>-0.5</v>
      </c>
      <c r="G50" s="21" t="n">
        <v>2027</v>
      </c>
      <c r="H50" s="21" t="inlineStr">
        <is>
          <t>Ramadan (ca. 8.2–9.3.2027): kortere åpningstider</t>
        </is>
      </c>
    </row>
    <row r="51">
      <c r="A51" s="21" t="inlineStr">
        <is>
          <t>EGY</t>
        </is>
      </c>
      <c r="B51" s="5">
        <f>IFERROR(INDEX(Destinasjoner!$E$5:$E$64,MATCH(A51,Destinasjoner!$A$5:$A$64,0)),"")</f>
        <v/>
      </c>
      <c r="C51" s="21" t="n">
        <v>4</v>
      </c>
      <c r="D51" s="21" t="n">
        <v>8</v>
      </c>
      <c r="E51" s="21" t="inlineStr">
        <is>
          <t>Helligdag</t>
        </is>
      </c>
      <c r="F51" s="21" t="n">
        <v>-0.5</v>
      </c>
      <c r="G51" s="21" t="n">
        <v>2028</v>
      </c>
      <c r="H51" s="21" t="inlineStr">
        <is>
          <t>Ramadan (ca. 28.1–26.2.2028): kortere åpningstider</t>
        </is>
      </c>
    </row>
    <row r="52">
      <c r="A52" s="21" t="inlineStr">
        <is>
          <t>EGY</t>
        </is>
      </c>
      <c r="B52" s="5">
        <f>IFERROR(INDEX(Destinasjoner!$E$5:$E$64,MATCH(A52,Destinasjoner!$A$5:$A$64,0)),"")</f>
        <v/>
      </c>
      <c r="C52" s="21" t="n">
        <v>8</v>
      </c>
      <c r="D52" s="21" t="n">
        <v>8</v>
      </c>
      <c r="E52" s="21" t="inlineStr">
        <is>
          <t>Hendelse</t>
        </is>
      </c>
      <c r="F52" s="21" t="n">
        <v>0.3</v>
      </c>
      <c r="G52" s="21" t="n"/>
      <c r="H52" s="21" t="inlineStr">
        <is>
          <t>Abu Simbel-solfenomenet 22.2 (hvis ruten går sør til Aswan)</t>
        </is>
      </c>
    </row>
    <row r="53">
      <c r="A53" s="21" t="inlineStr">
        <is>
          <t>EGY</t>
        </is>
      </c>
      <c r="B53" s="5">
        <f>IFERROR(INDEX(Destinasjoner!$E$5:$E$64,MATCH(A53,Destinasjoner!$A$5:$A$64,0)),"")</f>
        <v/>
      </c>
      <c r="C53" s="21" t="n">
        <v>43</v>
      </c>
      <c r="D53" s="21" t="n">
        <v>43</v>
      </c>
      <c r="E53" s="21" t="inlineStr">
        <is>
          <t>Hendelse</t>
        </is>
      </c>
      <c r="F53" s="21" t="n">
        <v>0.3</v>
      </c>
      <c r="G53" s="21" t="n"/>
      <c r="H53" s="21" t="inlineStr">
        <is>
          <t>Abu Simbel-solfenomenet 22.10</t>
        </is>
      </c>
    </row>
    <row r="54">
      <c r="A54" s="1" t="n"/>
      <c r="B54" s="5">
        <f>IF(A54="","",IFERROR(INDEX(Destinasjoner!$E$5:$E$64,MATCH(A54,Destinasjoner!$A$5:$A$64,0)),"?"))</f>
        <v/>
      </c>
      <c r="C54" s="1" t="n"/>
      <c r="D54" s="1" t="n"/>
      <c r="E54" s="1" t="n"/>
      <c r="F54" s="1" t="n"/>
      <c r="G54" s="1" t="n"/>
      <c r="H54" s="1" t="n"/>
    </row>
    <row r="55">
      <c r="A55" s="1" t="n"/>
      <c r="B55" s="5">
        <f>IF(A55="","",IFERROR(INDEX(Destinasjoner!$E$5:$E$64,MATCH(A55,Destinasjoner!$A$5:$A$64,0)),"?"))</f>
        <v/>
      </c>
      <c r="C55" s="1" t="n"/>
      <c r="D55" s="1" t="n"/>
      <c r="E55" s="1" t="n"/>
      <c r="F55" s="1" t="n"/>
      <c r="G55" s="1" t="n"/>
      <c r="H55" s="1" t="n"/>
    </row>
    <row r="56">
      <c r="A56" s="1" t="n"/>
      <c r="B56" s="5">
        <f>IF(A56="","",IFERROR(INDEX(Destinasjoner!$E$5:$E$64,MATCH(A56,Destinasjoner!$A$5:$A$64,0)),"?"))</f>
        <v/>
      </c>
      <c r="C56" s="1" t="n"/>
      <c r="D56" s="1" t="n"/>
      <c r="E56" s="1" t="n"/>
      <c r="F56" s="1" t="n"/>
      <c r="G56" s="1" t="n"/>
      <c r="H56" s="1" t="n"/>
    </row>
    <row r="57">
      <c r="A57" s="1" t="n"/>
      <c r="B57" s="5">
        <f>IF(A57="","",IFERROR(INDEX(Destinasjoner!$E$5:$E$64,MATCH(A57,Destinasjoner!$A$5:$A$64,0)),"?"))</f>
        <v/>
      </c>
      <c r="C57" s="1" t="n"/>
      <c r="D57" s="1" t="n"/>
      <c r="E57" s="1" t="n"/>
      <c r="F57" s="1" t="n"/>
      <c r="G57" s="1" t="n"/>
      <c r="H57" s="1" t="n"/>
    </row>
    <row r="58">
      <c r="A58" s="1" t="n"/>
      <c r="B58" s="5">
        <f>IF(A58="","",IFERROR(INDEX(Destinasjoner!$E$5:$E$64,MATCH(A58,Destinasjoner!$A$5:$A$64,0)),"?"))</f>
        <v/>
      </c>
      <c r="C58" s="1" t="n"/>
      <c r="D58" s="1" t="n"/>
      <c r="E58" s="1" t="n"/>
      <c r="F58" s="1" t="n"/>
      <c r="G58" s="1" t="n"/>
      <c r="H58" s="1" t="n"/>
    </row>
    <row r="59">
      <c r="A59" s="1" t="n"/>
      <c r="B59" s="5">
        <f>IF(A59="","",IFERROR(INDEX(Destinasjoner!$E$5:$E$64,MATCH(A59,Destinasjoner!$A$5:$A$64,0)),"?"))</f>
        <v/>
      </c>
      <c r="C59" s="1" t="n"/>
      <c r="D59" s="1" t="n"/>
      <c r="E59" s="1" t="n"/>
      <c r="F59" s="1" t="n"/>
      <c r="G59" s="1" t="n"/>
      <c r="H59" s="1" t="n"/>
    </row>
  </sheetData>
  <dataValidations count="1">
    <dataValidation sqref="E5:E300" showDropDown="0" showInputMessage="0" showErrorMessage="0" allowBlank="1" type="list">
      <formula1>"Klima,Dyreliv,Hendelse,Helligdag,Stengt,Annet"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2026-09-27T08:45:57Z</dcterms:created>
  <dcterms:modified xmlns:dcterms="http://purl.org/dc/terms/" xmlns:xsi="http://www.w3.org/2001/XMLSchema-instance" xsi:type="dcterms:W3CDTF">2026-09-27T08:45:58Z</dcterms:modified>
</cp:coreProperties>
</file>